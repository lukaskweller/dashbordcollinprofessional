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Ativas" sheetId="1" r:id="rId5"/>
  </sheets>
  <definedNames>
    <definedName hidden="1" localSheetId="0" name="_xlnm._FilterDatabase">'Clientes Ativas'!$L$9:$L$131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⚠️ Essa coluna é automática, não pode ser alterada.</t>
      </text>
    </comment>
  </commentList>
</comments>
</file>

<file path=xl/sharedStrings.xml><?xml version="1.0" encoding="utf-8"?>
<sst xmlns="http://schemas.openxmlformats.org/spreadsheetml/2006/main" count="439" uniqueCount="134">
  <si>
    <t>📋 clientes ativas Collin Ph</t>
  </si>
  <si>
    <t>Total em Vendas</t>
  </si>
  <si>
    <t>❗ Cobrar Prox Semana</t>
  </si>
  <si>
    <t xml:space="preserve">Saldo Devedor </t>
  </si>
  <si>
    <t>✅ Pago</t>
  </si>
  <si>
    <t>Saldo Pago Semanal</t>
  </si>
  <si>
    <t xml:space="preserve"> </t>
  </si>
  <si>
    <t xml:space="preserve">❌ Nao pago </t>
  </si>
  <si>
    <t>Pagamento comissão:</t>
  </si>
  <si>
    <t>🔝 Quitados</t>
  </si>
  <si>
    <t>Clientes:</t>
  </si>
  <si>
    <t>🏦 Vendedor</t>
  </si>
  <si>
    <t>Saldo carteira</t>
  </si>
  <si>
    <t>💸 Saldo Devedor (fx)</t>
  </si>
  <si>
    <t>📅 Data de Início</t>
  </si>
  <si>
    <t>📅 Vencimento</t>
  </si>
  <si>
    <t>Parcelas</t>
  </si>
  <si>
    <t>💸 Valor da Parcela</t>
  </si>
  <si>
    <t>🤝 Parcelas Pagas</t>
  </si>
  <si>
    <t>Comprovante</t>
  </si>
  <si>
    <t>Status</t>
  </si>
  <si>
    <t>✏️ Observações</t>
  </si>
  <si>
    <t xml:space="preserve">ALAIR MERLIM - ALTO ARIRIU </t>
  </si>
  <si>
    <t>Lucas Mateus</t>
  </si>
  <si>
    <t>🔝 Quitado</t>
  </si>
  <si>
    <t>ANA MAXIMA - PONTE IMARUIM</t>
  </si>
  <si>
    <t xml:space="preserve">PIX </t>
  </si>
  <si>
    <t>✅ OK</t>
  </si>
  <si>
    <t>ANA PAULA - BARRA</t>
  </si>
  <si>
    <t xml:space="preserve">ADELU PEIXOTO - CAMINHO NOVO </t>
  </si>
  <si>
    <t>PIX</t>
  </si>
  <si>
    <t>ARTE DA BELEZA - CENTRO PALHOÇA</t>
  </si>
  <si>
    <t xml:space="preserve">ANA LAURA - PRAIA DE FORA </t>
  </si>
  <si>
    <t xml:space="preserve">ANDREIA - FLOR DE NAPOLIS </t>
  </si>
  <si>
    <t xml:space="preserve">ANGELICA - PAGANI </t>
  </si>
  <si>
    <t>BEH ALISAMENTOS - FORQUILINHAS</t>
  </si>
  <si>
    <t>CATIA - PONTE IMARUIN</t>
  </si>
  <si>
    <t>⚠️ VERIFICAR PIX</t>
  </si>
  <si>
    <t>BRUNA BELLA CHICK - BARRA</t>
  </si>
  <si>
    <t>CACAU CAB - CENTRO PALHOÇA</t>
  </si>
  <si>
    <t>❗ Cobrar Prox Semana❗</t>
  </si>
  <si>
    <t xml:space="preserve">CAMARIM DA RÓ - PASSA VINTE </t>
  </si>
  <si>
    <t>CENTRO DE BELEZA LIDIA - PONTE IMARUIM</t>
  </si>
  <si>
    <t xml:space="preserve">CAROLINA ATELIE - FORQUILINHAS </t>
  </si>
  <si>
    <t xml:space="preserve">CLARISSE - BARRA </t>
  </si>
  <si>
    <t xml:space="preserve">EDUARDA - SANTO AMARO </t>
  </si>
  <si>
    <t xml:space="preserve">CS ESTUDIO DA CRIS - PASSA VINTE </t>
  </si>
  <si>
    <t>DAIANA SANTOS - BARRA</t>
  </si>
  <si>
    <t>❌ Nao pago</t>
  </si>
  <si>
    <t>DANIELA - FORQUILINHAS</t>
  </si>
  <si>
    <t xml:space="preserve">DEISE - RIO GRANDE </t>
  </si>
  <si>
    <t xml:space="preserve">FORMAS E FIOS - KOBRASOL </t>
  </si>
  <si>
    <t xml:space="preserve">GABRIELA LARCERDA - ARIRIU </t>
  </si>
  <si>
    <t>DIANE HAIR -  RIO DO SUL</t>
  </si>
  <si>
    <t xml:space="preserve">DIRCEU - KOBRASOL </t>
  </si>
  <si>
    <t>DINHEIRO</t>
  </si>
  <si>
    <t xml:space="preserve">JANAINA - ARIRIU </t>
  </si>
  <si>
    <t xml:space="preserve">JANAINA DE ABREU -  SANTO AMARO </t>
  </si>
  <si>
    <t xml:space="preserve">JAQUELINE - JARDIM ELDORADO </t>
  </si>
  <si>
    <t xml:space="preserve">ERLEIA - BELA VISTA </t>
  </si>
  <si>
    <t>JOEL - FORQUILINHAS</t>
  </si>
  <si>
    <t xml:space="preserve">JUCELIA - GUARDA CUBATAO </t>
  </si>
  <si>
    <t xml:space="preserve">KAYURI - BELA VISTA </t>
  </si>
  <si>
    <t xml:space="preserve">KELEN - JARDIN ELDORADO </t>
  </si>
  <si>
    <t>FABIANA NOHALS - BARRA</t>
  </si>
  <si>
    <t xml:space="preserve">LUCIVANIA - PONTE IMARUIM </t>
  </si>
  <si>
    <t>MADALENA - CENTRO PALHOÇA</t>
  </si>
  <si>
    <t>FLOWERY - FORQUILINHAS</t>
  </si>
  <si>
    <t xml:space="preserve">MARIA - PRAIA COMPRIDA </t>
  </si>
  <si>
    <t>MARIA CRISPIM - RIO GRANDE</t>
  </si>
  <si>
    <t xml:space="preserve">JAKI - RIO GRANDE </t>
  </si>
  <si>
    <t>LUCIANE - PONTE IMARUIM</t>
  </si>
  <si>
    <t>MARA SILVA - JARDIN ELDORADO</t>
  </si>
  <si>
    <t xml:space="preserve">JAQUELINE NUNES - PASSA VINTE </t>
  </si>
  <si>
    <t>JESSICA STUDIO - CAMINHO NOVO</t>
  </si>
  <si>
    <t xml:space="preserve">PATRICIA - FORQUILINHAS </t>
  </si>
  <si>
    <t>PATRICIA HAMES - FORQUILINHAS</t>
  </si>
  <si>
    <t>JO CABELELEIRA - CAMINHO NOVO</t>
  </si>
  <si>
    <t>JOSELAINE - ARIRIU</t>
  </si>
  <si>
    <t>RENATA - CAMINHO NOVO</t>
  </si>
  <si>
    <t xml:space="preserve">ROSE REIS - BARRA </t>
  </si>
  <si>
    <t xml:space="preserve">SALAO DA DANI -RIO GRANDE </t>
  </si>
  <si>
    <t xml:space="preserve">SIMONE - RIO GRANDE </t>
  </si>
  <si>
    <t>KAREN TAYNARA - FAZENDA DO MAX</t>
  </si>
  <si>
    <t>LBLOND - PONTE IMARUIM</t>
  </si>
  <si>
    <t>MARCOS - CENTRO PALHOÇA</t>
  </si>
  <si>
    <t>MARIANY NASCIMENTO - BERREIROS</t>
  </si>
  <si>
    <t>MARIAS BRUNA - PRAIA DO PAPAGAIO</t>
  </si>
  <si>
    <t xml:space="preserve">NINA HORST - CAMPINAS </t>
  </si>
  <si>
    <t xml:space="preserve">VERA TRUPEL - BELA VISTA </t>
  </si>
  <si>
    <t xml:space="preserve">NIZE - PONTE DO IMARUIM </t>
  </si>
  <si>
    <t>ONDA LINDA - PRAIA SONHO</t>
  </si>
  <si>
    <t xml:space="preserve">PALOMA HAIR - FLOR DE NAPOLIS </t>
  </si>
  <si>
    <t xml:space="preserve">PAULA - FAZENDA DO MAX </t>
  </si>
  <si>
    <t xml:space="preserve">QUEEN BEAUTY - PASSA VINTE </t>
  </si>
  <si>
    <t xml:space="preserve">RAQUEL - RIO GRANDE </t>
  </si>
  <si>
    <t xml:space="preserve">JOYCE LIMA - PACHECO </t>
  </si>
  <si>
    <t xml:space="preserve">RENATA RIBEIRO - FORQUILINHAS </t>
  </si>
  <si>
    <t>SALAO DA LEIA - CENTRO SAO JOSE</t>
  </si>
  <si>
    <t xml:space="preserve">SALAO DA SHIRLEY - BARRA </t>
  </si>
  <si>
    <t>SALAO YURI - BARRA</t>
  </si>
  <si>
    <t xml:space="preserve">SOLANGE - BARRA </t>
  </si>
  <si>
    <t xml:space="preserve">SONINHA - PONTE IMARUIN </t>
  </si>
  <si>
    <t>STUDIO ROSELAINY - PAGANI</t>
  </si>
  <si>
    <t>MIRIAN OLIVEIRA - CAMINHO NOVO</t>
  </si>
  <si>
    <t>CIDINHA - BARRA</t>
  </si>
  <si>
    <t xml:space="preserve">HENRIQUE - PACHECO </t>
  </si>
  <si>
    <t xml:space="preserve">STUDIO RICAR - BELA VISTA </t>
  </si>
  <si>
    <t xml:space="preserve">STUDIO ROSE - SERTAO IMARUIM </t>
  </si>
  <si>
    <t>TAINARA APARECIDA - MACIAMBU</t>
  </si>
  <si>
    <t xml:space="preserve">TIRZAH FERREIRA - SUL DO RIO </t>
  </si>
  <si>
    <t>TREICY - BELA VISTA</t>
  </si>
  <si>
    <t xml:space="preserve">VALERIA - SAO SEBASTIAO </t>
  </si>
  <si>
    <t>VANESSA BENDITA - FORQUILINHAS</t>
  </si>
  <si>
    <t>YOSE - FORQUILHINHAS</t>
  </si>
  <si>
    <t xml:space="preserve">GERSIANE PESSOA - CAMINHO NOVO </t>
  </si>
  <si>
    <t xml:space="preserve">SUSSANA CARLA - JARDIN ELDORADO </t>
  </si>
  <si>
    <t xml:space="preserve">GREICE MARTINS - RIO GRANDE </t>
  </si>
  <si>
    <t xml:space="preserve">JUICY - SAO SEBASTIAO </t>
  </si>
  <si>
    <t xml:space="preserve">JULIANA OLIVEIRA - FORQUILINHAS </t>
  </si>
  <si>
    <t xml:space="preserve">SALAO DOMINIOS - FORQUILINHAS </t>
  </si>
  <si>
    <t>MICHELE ROSA - POTECAS</t>
  </si>
  <si>
    <t>CLEO CANTINHO DA BELEZA - MADRID</t>
  </si>
  <si>
    <t>SALAO DA ROSE - FORQUILINHAS</t>
  </si>
  <si>
    <t xml:space="preserve">SALAO BRILHO UNICO ANDREIA - JARDIN </t>
  </si>
  <si>
    <t xml:space="preserve">RAQUEL VARELA - BARRA </t>
  </si>
  <si>
    <t xml:space="preserve">CELI HAIR - ARIRIU </t>
  </si>
  <si>
    <t xml:space="preserve">RO MEGA HAIR - FORQUILINHAS </t>
  </si>
  <si>
    <t>MARY SILVA - KOBRASOL</t>
  </si>
  <si>
    <t xml:space="preserve">FRANCINE SOUZA  - SUL DO RIO </t>
  </si>
  <si>
    <t>JOSELANE NASCIMENTO - CENTRO PH</t>
  </si>
  <si>
    <t>SANDRA PATRICIO - CENTRO PH</t>
  </si>
  <si>
    <t xml:space="preserve">GEOVANA LENCINA </t>
  </si>
  <si>
    <t xml:space="preserve">PATRICIA SILVA - BARRA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</si>
</sst>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 -416]#,##0"/>
    <numFmt numFmtId="166" formatCode="dd/M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6.0"/>
      <color rgb="FF434343"/>
      <name val="Playfair Display"/>
    </font>
    <font>
      <b/>
      <i/>
      <sz val="16.0"/>
      <color theme="1"/>
      <name val="Arial"/>
    </font>
    <font>
      <u/>
      <sz val="12.0"/>
      <color rgb="FF1155CC"/>
      <name val="Arial"/>
    </font>
    <font>
      <b/>
      <sz val="13.0"/>
      <color theme="1"/>
      <name val="Arial"/>
    </font>
    <font>
      <i/>
      <sz val="14.0"/>
      <color rgb="FF000000"/>
      <name val="Arial"/>
    </font>
    <font>
      <b/>
      <i/>
      <sz val="14.0"/>
      <color rgb="FF741B47"/>
      <name val="Arial"/>
    </font>
    <font>
      <sz val="13.0"/>
      <color theme="1"/>
      <name val="Arial"/>
    </font>
    <font>
      <sz val="14.0"/>
      <color theme="1"/>
      <name val="Arial"/>
    </font>
    <font>
      <b/>
      <i/>
      <sz val="14.0"/>
      <color rgb="FF38761D"/>
      <name val="Arial"/>
    </font>
    <font>
      <b/>
      <i/>
      <sz val="14.0"/>
      <color rgb="FFCC0000"/>
      <name val="Arial"/>
    </font>
    <font>
      <b/>
      <i/>
      <sz val="14.0"/>
      <color theme="9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b/>
      <sz val="14.0"/>
      <color theme="1"/>
      <name val="Arial"/>
      <scheme val="minor"/>
    </font>
    <font>
      <b/>
      <sz val="11.0"/>
      <color theme="1"/>
      <name val="Montserrat"/>
    </font>
    <font>
      <b/>
      <sz val="11.0"/>
      <color rgb="FF666666"/>
      <name val="Montserrat"/>
    </font>
    <font>
      <b/>
      <sz val="11.0"/>
      <color rgb="FF434343"/>
      <name val="Montserrat"/>
    </font>
    <font>
      <color rgb="FF222222"/>
      <name val="Arial"/>
    </font>
    <font>
      <color theme="1"/>
      <name val="Arial"/>
      <scheme val="minor"/>
    </font>
    <font>
      <color rgb="FF66666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741B47"/>
        <bgColor rgb="FF741B47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  <fill>
      <patternFill patternType="solid">
        <fgColor theme="4"/>
        <bgColor theme="4"/>
      </patternFill>
    </fill>
    <fill>
      <patternFill patternType="solid">
        <fgColor rgb="FFFFFBEF"/>
        <bgColor rgb="FFFFFBEF"/>
      </patternFill>
    </fill>
    <fill>
      <patternFill patternType="solid">
        <fgColor rgb="FFC27BA0"/>
        <bgColor rgb="FFC27BA0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0B8043"/>
      </bottom>
    </border>
    <border>
      <right style="thin">
        <color rgb="FFEFEFEF"/>
      </right>
      <bottom style="thin">
        <color rgb="FFEFEFE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3" numFmtId="3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top"/>
    </xf>
    <xf borderId="2" fillId="2" fontId="5" numFmtId="0" xfId="0" applyAlignment="1" applyBorder="1" applyFill="1" applyFont="1">
      <alignment readingOrder="0"/>
    </xf>
    <xf borderId="2" fillId="3" fontId="5" numFmtId="164" xfId="0" applyAlignment="1" applyBorder="1" applyFill="1" applyFont="1" applyNumberFormat="1">
      <alignment horizontal="center" vertical="bottom"/>
    </xf>
    <xf borderId="2" fillId="4" fontId="6" numFmtId="3" xfId="0" applyAlignment="1" applyBorder="1" applyFill="1" applyFont="1" applyNumberFormat="1">
      <alignment horizontal="center" readingOrder="0" vertical="bottom"/>
    </xf>
    <xf borderId="2" fillId="0" fontId="7" numFmtId="3" xfId="0" applyAlignment="1" applyBorder="1" applyFont="1" applyNumberFormat="1">
      <alignment horizontal="center" vertical="bottom"/>
    </xf>
    <xf borderId="2" fillId="2" fontId="8" numFmtId="0" xfId="0" applyAlignment="1" applyBorder="1" applyFont="1">
      <alignment readingOrder="0"/>
    </xf>
    <xf borderId="2" fillId="5" fontId="5" numFmtId="164" xfId="0" applyAlignment="1" applyBorder="1" applyFill="1" applyFont="1" applyNumberFormat="1">
      <alignment horizontal="center" vertical="bottom"/>
    </xf>
    <xf borderId="2" fillId="6" fontId="9" numFmtId="0" xfId="0" applyAlignment="1" applyBorder="1" applyFill="1" applyFont="1">
      <alignment readingOrder="0"/>
    </xf>
    <xf borderId="2" fillId="0" fontId="10" numFmtId="3" xfId="0" applyAlignment="1" applyBorder="1" applyFont="1" applyNumberFormat="1">
      <alignment horizontal="center" vertical="bottom"/>
    </xf>
    <xf borderId="2" fillId="6" fontId="5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readingOrder="0" vertical="bottom"/>
    </xf>
    <xf borderId="2" fillId="5" fontId="9" numFmtId="0" xfId="0" applyAlignment="1" applyBorder="1" applyFont="1">
      <alignment readingOrder="0"/>
    </xf>
    <xf borderId="2" fillId="0" fontId="11" numFmtId="3" xfId="0" applyAlignment="1" applyBorder="1" applyFont="1" applyNumberFormat="1">
      <alignment horizontal="center" vertical="bottom"/>
    </xf>
    <xf borderId="2" fillId="7" fontId="5" numFmtId="164" xfId="0" applyAlignment="1" applyBorder="1" applyFill="1" applyFont="1" applyNumberFormat="1">
      <alignment horizontal="center" vertical="bottom"/>
    </xf>
    <xf borderId="2" fillId="8" fontId="9" numFmtId="0" xfId="0" applyAlignment="1" applyBorder="1" applyFill="1" applyFont="1">
      <alignment readingOrder="0"/>
    </xf>
    <xf borderId="2" fillId="0" fontId="12" numFmtId="3" xfId="0" applyAlignment="1" applyBorder="1" applyFont="1" applyNumberFormat="1">
      <alignment horizontal="center" vertical="bottom"/>
    </xf>
    <xf borderId="0" fillId="0" fontId="13" numFmtId="0" xfId="0" applyFont="1"/>
    <xf borderId="3" fillId="2" fontId="14" numFmtId="0" xfId="0" applyAlignment="1" applyBorder="1" applyFont="1">
      <alignment horizontal="center" readingOrder="0" textRotation="0" vertical="center"/>
    </xf>
    <xf borderId="3" fillId="2" fontId="13" numFmtId="164" xfId="0" applyAlignment="1" applyBorder="1" applyFont="1" applyNumberFormat="1">
      <alignment horizontal="center" readingOrder="0"/>
    </xf>
    <xf borderId="3" fillId="2" fontId="13" numFmtId="0" xfId="0" applyAlignment="1" applyBorder="1" applyFont="1">
      <alignment horizontal="center" readingOrder="0"/>
    </xf>
    <xf borderId="3" fillId="2" fontId="13" numFmtId="0" xfId="0" applyAlignment="1" applyBorder="1" applyFont="1">
      <alignment horizontal="center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5" numFmtId="0" xfId="0" applyFont="1"/>
    <xf borderId="0" fillId="0" fontId="1" numFmtId="0" xfId="0" applyFont="1"/>
    <xf borderId="1" fillId="8" fontId="16" numFmtId="0" xfId="0" applyAlignment="1" applyBorder="1" applyFont="1">
      <alignment horizontal="center" vertical="bottom"/>
    </xf>
    <xf borderId="4" fillId="0" fontId="17" numFmtId="165" xfId="0" applyAlignment="1" applyBorder="1" applyFont="1" applyNumberFormat="1">
      <alignment horizontal="center" readingOrder="0"/>
    </xf>
    <xf borderId="4" fillId="0" fontId="17" numFmtId="164" xfId="0" applyAlignment="1" applyBorder="1" applyFont="1" applyNumberFormat="1">
      <alignment horizontal="center" readingOrder="0"/>
    </xf>
    <xf borderId="4" fillId="9" fontId="17" numFmtId="164" xfId="0" applyAlignment="1" applyBorder="1" applyFill="1" applyFont="1" applyNumberFormat="1">
      <alignment horizontal="center"/>
    </xf>
    <xf borderId="4" fillId="0" fontId="16" numFmtId="166" xfId="0" applyAlignment="1" applyBorder="1" applyFont="1" applyNumberFormat="1">
      <alignment readingOrder="0"/>
    </xf>
    <xf borderId="4" fillId="0" fontId="16" numFmtId="3" xfId="0" applyAlignment="1" applyBorder="1" applyFont="1" applyNumberFormat="1">
      <alignment horizontal="center"/>
    </xf>
    <xf borderId="4" fillId="0" fontId="16" numFmtId="164" xfId="0" applyAlignment="1" applyBorder="1" applyFont="1" applyNumberFormat="1">
      <alignment horizontal="center" readingOrder="0"/>
    </xf>
    <xf borderId="4" fillId="0" fontId="16" numFmtId="3" xfId="0" applyBorder="1" applyFont="1" applyNumberFormat="1"/>
    <xf borderId="4" fillId="0" fontId="16" numFmtId="0" xfId="0" applyBorder="1" applyFont="1"/>
    <xf borderId="4" fillId="0" fontId="16" numFmtId="165" xfId="0" applyAlignment="1" applyBorder="1" applyFont="1" applyNumberFormat="1">
      <alignment horizontal="center" readingOrder="0" shrinkToFit="0" wrapText="0"/>
    </xf>
    <xf borderId="4" fillId="0" fontId="1" numFmtId="165" xfId="0" applyBorder="1" applyFont="1" applyNumberFormat="1"/>
    <xf borderId="0" fillId="0" fontId="1" numFmtId="14" xfId="0" applyFont="1" applyNumberFormat="1"/>
    <xf borderId="0" fillId="0" fontId="1" numFmtId="0" xfId="0" applyFont="1"/>
    <xf borderId="1" fillId="6" fontId="16" numFmtId="0" xfId="0" applyAlignment="1" applyBorder="1" applyFont="1">
      <alignment horizontal="center" readingOrder="0" vertical="bottom"/>
    </xf>
    <xf borderId="4" fillId="0" fontId="18" numFmtId="166" xfId="0" applyAlignment="1" applyBorder="1" applyFont="1" applyNumberFormat="1">
      <alignment readingOrder="0"/>
    </xf>
    <xf borderId="4" fillId="0" fontId="16" numFmtId="3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readingOrder="0"/>
    </xf>
    <xf borderId="1" fillId="8" fontId="16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4" fillId="0" fontId="16" numFmtId="10" xfId="0" applyAlignment="1" applyBorder="1" applyFont="1" applyNumberFormat="1">
      <alignment horizontal="center"/>
    </xf>
    <xf borderId="1" fillId="8" fontId="16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vertical="bottom"/>
    </xf>
    <xf borderId="4" fillId="9" fontId="17" numFmtId="164" xfId="0" applyAlignment="1" applyBorder="1" applyFont="1" applyNumberFormat="1">
      <alignment horizontal="center" readingOrder="0"/>
    </xf>
    <xf borderId="1" fillId="10" fontId="16" numFmtId="0" xfId="0" applyAlignment="1" applyBorder="1" applyFill="1" applyFont="1">
      <alignment horizontal="center" readingOrder="0" vertical="bottom"/>
    </xf>
    <xf borderId="1" fillId="11" fontId="16" numFmtId="0" xfId="0" applyAlignment="1" applyBorder="1" applyFill="1" applyFont="1">
      <alignment horizontal="center" vertical="bottom"/>
    </xf>
    <xf borderId="1" fillId="10" fontId="16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readingOrder="0" vertical="bottom"/>
    </xf>
    <xf borderId="0" fillId="11" fontId="1" numFmtId="0" xfId="0" applyFont="1"/>
    <xf borderId="5" fillId="11" fontId="16" numFmtId="0" xfId="0" applyAlignment="1" applyBorder="1" applyFont="1">
      <alignment horizontal="center" readingOrder="0" vertical="bottom"/>
    </xf>
    <xf borderId="1" fillId="11" fontId="16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readingOrder="0"/>
    </xf>
    <xf borderId="0" fillId="12" fontId="19" numFmtId="0" xfId="0" applyAlignment="1" applyFill="1" applyFont="1">
      <alignment readingOrder="0"/>
    </xf>
    <xf borderId="0" fillId="0" fontId="16" numFmtId="0" xfId="0" applyAlignment="1" applyFont="1">
      <alignment horizontal="center"/>
    </xf>
    <xf borderId="0" fillId="12" fontId="19" numFmtId="0" xfId="0" applyFont="1"/>
    <xf borderId="1" fillId="11" fontId="16" numFmtId="0" xfId="0" applyAlignment="1" applyBorder="1" applyFont="1">
      <alignment horizontal="center" readingOrder="0" vertical="bottom"/>
    </xf>
    <xf borderId="1" fillId="13" fontId="16" numFmtId="0" xfId="0" applyAlignment="1" applyBorder="1" applyFill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4" fillId="0" fontId="17" numFmtId="165" xfId="0" applyAlignment="1" applyBorder="1" applyFont="1" applyNumberFormat="1">
      <alignment horizontal="center" vertical="bottom"/>
    </xf>
    <xf borderId="4" fillId="0" fontId="17" numFmtId="164" xfId="0" applyAlignment="1" applyBorder="1" applyFont="1" applyNumberFormat="1">
      <alignment horizontal="center" vertical="bottom"/>
    </xf>
    <xf borderId="4" fillId="0" fontId="18" numFmtId="166" xfId="0" applyAlignment="1" applyBorder="1" applyFont="1" applyNumberFormat="1">
      <alignment horizontal="right" vertical="bottom"/>
    </xf>
    <xf borderId="4" fillId="0" fontId="16" numFmtId="165" xfId="0" applyAlignment="1" applyBorder="1" applyFont="1" applyNumberFormat="1">
      <alignment horizontal="center" shrinkToFit="0" vertical="bottom" wrapText="0"/>
    </xf>
    <xf borderId="4" fillId="0" fontId="1" numFmtId="165" xfId="0" applyAlignment="1" applyBorder="1" applyFont="1" applyNumberFormat="1">
      <alignment vertical="bottom"/>
    </xf>
    <xf borderId="4" fillId="9" fontId="17" numFmtId="164" xfId="0" applyAlignment="1" applyBorder="1" applyFont="1" applyNumberFormat="1">
      <alignment horizontal="center" vertical="bottom"/>
    </xf>
    <xf borderId="4" fillId="0" fontId="16" numFmtId="165" xfId="0" applyAlignment="1" applyBorder="1" applyFont="1" applyNumberFormat="1">
      <alignment horizontal="center" readingOrder="0" shrinkToFit="0" vertical="bottom" wrapText="0"/>
    </xf>
    <xf borderId="4" fillId="0" fontId="1" numFmtId="165" xfId="0" applyAlignment="1" applyBorder="1" applyFont="1" applyNumberFormat="1">
      <alignment readingOrder="0" vertical="bottom"/>
    </xf>
    <xf borderId="4" fillId="0" fontId="17" numFmtId="164" xfId="0" applyAlignment="1" applyBorder="1" applyFont="1" applyNumberFormat="1">
      <alignment horizontal="center" readingOrder="0" vertical="bottom"/>
    </xf>
    <xf borderId="0" fillId="0" fontId="16" numFmtId="0" xfId="0" applyFont="1"/>
    <xf borderId="0" fillId="0" fontId="16" numFmtId="164" xfId="0" applyAlignment="1" applyFont="1" applyNumberFormat="1">
      <alignment horizontal="center" readingOrder="0"/>
    </xf>
    <xf borderId="0" fillId="0" fontId="16" numFmtId="164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0" numFmtId="164" xfId="0" applyAlignment="1" applyFont="1" applyNumberFormat="1">
      <alignment horizontal="center"/>
    </xf>
    <xf borderId="4" fillId="9" fontId="21" numFmtId="164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0"/>
    <col customWidth="1" min="2" max="2" width="44.38"/>
    <col customWidth="1" min="3" max="3" width="16.13"/>
    <col customWidth="1" min="4" max="4" width="17.88"/>
    <col customWidth="1" min="5" max="5" width="27.38"/>
    <col customWidth="1" min="6" max="6" width="20.38"/>
    <col customWidth="1" min="7" max="7" width="18.38"/>
    <col customWidth="1" min="8" max="8" width="11.13"/>
    <col customWidth="1" min="9" max="9" width="23.38"/>
    <col customWidth="1" min="10" max="10" width="22.0"/>
    <col customWidth="1" min="11" max="11" width="16.75"/>
    <col customWidth="1" min="12" max="12" width="28.13"/>
    <col customWidth="1" min="13" max="13" width="20.63"/>
    <col customWidth="1" min="14" max="14" width="11.13"/>
    <col customWidth="1" min="17" max="17" width="10.88"/>
    <col customWidth="1" min="18" max="18" width="9.88"/>
    <col customWidth="1" min="19" max="19" width="8.63"/>
  </cols>
  <sheetData>
    <row r="1">
      <c r="A1" s="1"/>
      <c r="B1" s="1"/>
      <c r="C1" s="2"/>
      <c r="D1" s="3"/>
      <c r="E1" s="3"/>
      <c r="F1" s="3"/>
      <c r="G1" s="3"/>
      <c r="H1" s="3"/>
      <c r="I1" s="3"/>
      <c r="J1" s="4"/>
      <c r="K1" s="4"/>
      <c r="L1" s="3"/>
      <c r="M1" s="4"/>
      <c r="N1" s="3"/>
      <c r="O1" s="3"/>
      <c r="P1" s="3"/>
      <c r="Q1" s="3"/>
      <c r="R1" s="3"/>
      <c r="S1" s="3"/>
      <c r="T1" s="3"/>
      <c r="U1" s="3"/>
    </row>
    <row r="2">
      <c r="A2" s="3"/>
      <c r="B2" s="5" t="s">
        <v>0</v>
      </c>
      <c r="C2" s="6">
        <f>SUM(F5+F6+F4)</f>
        <v>57</v>
      </c>
      <c r="D2" s="3"/>
      <c r="E2" s="3"/>
      <c r="F2" s="3"/>
      <c r="G2" s="3"/>
      <c r="H2" s="3"/>
      <c r="I2" s="3"/>
      <c r="J2" s="4"/>
      <c r="K2" s="4"/>
      <c r="L2" s="3"/>
      <c r="M2" s="7"/>
      <c r="N2" s="3"/>
      <c r="O2" s="3"/>
      <c r="P2" s="3"/>
      <c r="Q2" s="3"/>
      <c r="R2" s="3"/>
      <c r="S2" s="3"/>
      <c r="T2" s="3"/>
      <c r="U2" s="3"/>
    </row>
    <row r="3">
      <c r="A3" s="1"/>
      <c r="B3" s="1"/>
      <c r="C3" s="2"/>
      <c r="D3" s="2"/>
      <c r="G3" s="3"/>
      <c r="H3" s="3"/>
      <c r="I3" s="3"/>
      <c r="J3" s="4"/>
      <c r="K3" s="4"/>
      <c r="L3" s="3"/>
      <c r="M3" s="4"/>
      <c r="N3" s="3"/>
      <c r="O3" s="3"/>
      <c r="P3" s="3"/>
      <c r="Q3" s="3"/>
      <c r="R3" s="3"/>
      <c r="S3" s="3"/>
      <c r="T3" s="3"/>
      <c r="U3" s="3"/>
    </row>
    <row r="4">
      <c r="A4" s="1"/>
      <c r="B4" s="8" t="s">
        <v>1</v>
      </c>
      <c r="C4" s="9">
        <f>SUM(D10:D106)</f>
        <v>29106.9</v>
      </c>
      <c r="D4" s="2"/>
      <c r="E4" s="10" t="s">
        <v>2</v>
      </c>
      <c r="F4" s="11">
        <f>COUNTIF($L:$L,"❗ Cobrar Prox Semana❗")</f>
        <v>7</v>
      </c>
      <c r="G4" s="3"/>
      <c r="H4" s="3"/>
      <c r="I4" s="3"/>
      <c r="J4" s="4"/>
      <c r="K4" s="4"/>
      <c r="L4" s="3"/>
      <c r="M4" s="4"/>
      <c r="N4" s="3"/>
      <c r="O4" s="3"/>
      <c r="P4" s="3"/>
      <c r="Q4" s="3"/>
      <c r="R4" s="3"/>
      <c r="S4" s="3"/>
      <c r="T4" s="3"/>
      <c r="U4" s="3"/>
    </row>
    <row r="5">
      <c r="A5" s="1"/>
      <c r="B5" s="12" t="s">
        <v>3</v>
      </c>
      <c r="C5" s="13">
        <f>SUM(C4-C6)</f>
        <v>23972.2</v>
      </c>
      <c r="D5" s="2"/>
      <c r="E5" s="14" t="s">
        <v>4</v>
      </c>
      <c r="F5" s="15">
        <f>COUNTIF($L:$L,E5)</f>
        <v>41</v>
      </c>
      <c r="G5" s="3"/>
      <c r="H5" s="3"/>
      <c r="I5" s="3"/>
      <c r="J5" s="4"/>
      <c r="K5" s="4"/>
      <c r="L5" s="3"/>
      <c r="M5" s="4"/>
      <c r="N5" s="3"/>
      <c r="O5" s="3"/>
      <c r="P5" s="3"/>
      <c r="Q5" s="3"/>
      <c r="R5" s="3"/>
      <c r="S5" s="3"/>
      <c r="T5" s="3"/>
      <c r="U5" s="3"/>
    </row>
    <row r="6">
      <c r="A6" s="3"/>
      <c r="B6" s="12" t="s">
        <v>5</v>
      </c>
      <c r="C6" s="16">
        <f>SUM(I11:I186)</f>
        <v>5134.7</v>
      </c>
      <c r="D6" s="17" t="s">
        <v>6</v>
      </c>
      <c r="E6" s="18" t="s">
        <v>7</v>
      </c>
      <c r="F6" s="19">
        <f>COUNTIF($L:$L,"❌ Nao pago")</f>
        <v>9</v>
      </c>
      <c r="G6" s="3"/>
      <c r="H6" s="3"/>
      <c r="I6" s="3"/>
      <c r="J6" s="4"/>
      <c r="K6" s="4"/>
      <c r="L6" s="3"/>
      <c r="M6" s="4"/>
      <c r="N6" s="3"/>
      <c r="O6" s="3"/>
      <c r="P6" s="3"/>
      <c r="Q6" s="3"/>
      <c r="R6" s="3"/>
      <c r="S6" s="3"/>
      <c r="T6" s="3"/>
      <c r="U6" s="3"/>
    </row>
    <row r="7">
      <c r="A7" s="1"/>
      <c r="B7" s="12" t="s">
        <v>8</v>
      </c>
      <c r="C7" s="20">
        <f>C6*15%+375</f>
        <v>1145.205</v>
      </c>
      <c r="D7" s="2"/>
      <c r="E7" s="21" t="s">
        <v>9</v>
      </c>
      <c r="F7" s="22">
        <f>COUNTIF($L:$L,"🔝 quitado")</f>
        <v>46</v>
      </c>
      <c r="G7" s="3"/>
      <c r="H7" s="3"/>
      <c r="I7" s="3"/>
      <c r="J7" s="4"/>
      <c r="K7" s="4"/>
      <c r="L7" s="3"/>
      <c r="M7" s="4"/>
      <c r="N7" s="3"/>
      <c r="O7" s="3"/>
      <c r="P7" s="3"/>
      <c r="Q7" s="3"/>
      <c r="R7" s="3"/>
      <c r="S7" s="3"/>
      <c r="T7" s="3"/>
      <c r="U7" s="3"/>
    </row>
    <row r="8">
      <c r="A8" s="1"/>
      <c r="B8" s="3"/>
      <c r="C8" s="2"/>
      <c r="D8" s="2"/>
      <c r="E8" s="2"/>
      <c r="F8" s="3"/>
      <c r="G8" s="3"/>
      <c r="H8" s="3"/>
      <c r="I8" s="3"/>
      <c r="J8" s="4"/>
      <c r="K8" s="4"/>
      <c r="L8" s="3"/>
      <c r="M8" s="4"/>
      <c r="N8" s="3"/>
      <c r="O8" s="3"/>
      <c r="P8" s="3"/>
      <c r="Q8" s="3"/>
      <c r="R8" s="3"/>
      <c r="S8" s="3"/>
      <c r="T8" s="3"/>
      <c r="U8" s="3"/>
    </row>
    <row r="9">
      <c r="A9" s="23"/>
      <c r="B9" s="24" t="s">
        <v>10</v>
      </c>
      <c r="C9" s="25" t="s">
        <v>11</v>
      </c>
      <c r="D9" s="26" t="s">
        <v>12</v>
      </c>
      <c r="E9" s="27" t="s">
        <v>13</v>
      </c>
      <c r="F9" s="27" t="s">
        <v>14</v>
      </c>
      <c r="G9" s="26" t="s">
        <v>15</v>
      </c>
      <c r="H9" s="26" t="s">
        <v>16</v>
      </c>
      <c r="I9" s="27" t="s">
        <v>17</v>
      </c>
      <c r="J9" s="27" t="s">
        <v>18</v>
      </c>
      <c r="K9" s="26" t="s">
        <v>19</v>
      </c>
      <c r="L9" s="27" t="s">
        <v>20</v>
      </c>
      <c r="M9" s="27" t="s">
        <v>21</v>
      </c>
      <c r="N9" s="28"/>
      <c r="O9" s="28"/>
      <c r="P9" s="28"/>
      <c r="Q9" s="28"/>
      <c r="R9" s="28"/>
      <c r="S9" s="28"/>
      <c r="T9" s="28"/>
      <c r="U9" s="29"/>
      <c r="V9" s="30"/>
      <c r="W9" s="30"/>
      <c r="X9" s="30"/>
      <c r="Y9" s="30"/>
      <c r="Z9" s="30"/>
    </row>
    <row r="10" hidden="1">
      <c r="A10" s="31"/>
      <c r="B10" s="32" t="s">
        <v>22</v>
      </c>
      <c r="C10" s="33" t="s">
        <v>23</v>
      </c>
      <c r="D10" s="34">
        <v>0.0</v>
      </c>
      <c r="E10" s="35">
        <f t="shared" ref="E10:E18" si="1">IF(D10&lt;&gt;"",D10-(I10*J10),"")</f>
        <v>0</v>
      </c>
      <c r="F10" s="36"/>
      <c r="G10" s="36"/>
      <c r="H10" s="37"/>
      <c r="I10" s="38">
        <v>0.0</v>
      </c>
      <c r="J10" s="39"/>
      <c r="K10" s="40"/>
      <c r="L10" s="41" t="s">
        <v>24</v>
      </c>
      <c r="M10" s="42"/>
      <c r="N10" s="31"/>
      <c r="O10" s="31"/>
      <c r="P10" s="31"/>
      <c r="Q10" s="31"/>
      <c r="R10" s="31"/>
      <c r="S10" s="43"/>
      <c r="T10" s="43"/>
      <c r="U10" s="43"/>
    </row>
    <row r="11" hidden="1">
      <c r="A11" s="44"/>
      <c r="B11" s="45" t="s">
        <v>25</v>
      </c>
      <c r="C11" s="33" t="s">
        <v>23</v>
      </c>
      <c r="D11" s="34">
        <v>199.0</v>
      </c>
      <c r="E11" s="35">
        <f t="shared" si="1"/>
        <v>99</v>
      </c>
      <c r="F11" s="46">
        <v>46179.0</v>
      </c>
      <c r="G11" s="46">
        <v>46181.0</v>
      </c>
      <c r="H11" s="47"/>
      <c r="I11" s="38">
        <v>100.0</v>
      </c>
      <c r="J11" s="47">
        <v>1.0</v>
      </c>
      <c r="K11" s="48" t="s">
        <v>26</v>
      </c>
      <c r="L11" s="41" t="s">
        <v>4</v>
      </c>
      <c r="M11" s="49" t="s">
        <v>27</v>
      </c>
      <c r="N11" s="31"/>
      <c r="O11" s="31"/>
      <c r="P11" s="31"/>
      <c r="Q11" s="31"/>
      <c r="R11" s="31"/>
      <c r="S11" s="43"/>
      <c r="T11" s="43"/>
      <c r="U11" s="43"/>
    </row>
    <row r="12" hidden="1">
      <c r="A12" s="44"/>
      <c r="B12" s="50" t="s">
        <v>28</v>
      </c>
      <c r="C12" s="33" t="s">
        <v>23</v>
      </c>
      <c r="D12" s="34">
        <v>0.0</v>
      </c>
      <c r="E12" s="35">
        <f t="shared" si="1"/>
        <v>0</v>
      </c>
      <c r="F12" s="46"/>
      <c r="G12" s="46"/>
      <c r="H12" s="47"/>
      <c r="I12" s="38">
        <v>0.0</v>
      </c>
      <c r="J12" s="47"/>
      <c r="K12" s="48"/>
      <c r="L12" s="41" t="s">
        <v>24</v>
      </c>
      <c r="M12" s="42"/>
      <c r="N12" s="31"/>
      <c r="O12" s="31"/>
      <c r="P12" s="31"/>
      <c r="Q12" s="31"/>
      <c r="R12" s="31"/>
      <c r="S12" s="43"/>
      <c r="T12" s="43"/>
      <c r="U12" s="43"/>
    </row>
    <row r="13" hidden="1">
      <c r="A13" s="44"/>
      <c r="B13" s="51" t="s">
        <v>29</v>
      </c>
      <c r="C13" s="33" t="s">
        <v>23</v>
      </c>
      <c r="D13" s="34">
        <v>349.9</v>
      </c>
      <c r="E13" s="35">
        <f t="shared" si="1"/>
        <v>199.9</v>
      </c>
      <c r="F13" s="46">
        <v>46179.0</v>
      </c>
      <c r="G13" s="46">
        <v>46181.0</v>
      </c>
      <c r="H13" s="47"/>
      <c r="I13" s="38">
        <v>150.0</v>
      </c>
      <c r="J13" s="47">
        <v>1.0</v>
      </c>
      <c r="K13" s="48" t="s">
        <v>30</v>
      </c>
      <c r="L13" s="41" t="s">
        <v>4</v>
      </c>
      <c r="M13" s="49" t="s">
        <v>27</v>
      </c>
      <c r="N13" s="31"/>
      <c r="O13" s="31"/>
      <c r="P13" s="31"/>
      <c r="Q13" s="31"/>
      <c r="R13" s="31"/>
      <c r="S13" s="43"/>
      <c r="T13" s="43"/>
      <c r="U13" s="43"/>
    </row>
    <row r="14" hidden="1">
      <c r="A14" s="31"/>
      <c r="B14" s="50" t="s">
        <v>31</v>
      </c>
      <c r="C14" s="33" t="s">
        <v>23</v>
      </c>
      <c r="D14" s="34">
        <v>0.0</v>
      </c>
      <c r="E14" s="35">
        <f t="shared" si="1"/>
        <v>0</v>
      </c>
      <c r="F14" s="36"/>
      <c r="G14" s="36"/>
      <c r="H14" s="37"/>
      <c r="I14" s="38">
        <v>0.0</v>
      </c>
      <c r="J14" s="37"/>
      <c r="K14" s="52"/>
      <c r="L14" s="41" t="s">
        <v>24</v>
      </c>
      <c r="M14" s="42"/>
      <c r="N14" s="31"/>
      <c r="O14" s="31"/>
      <c r="P14" s="31"/>
      <c r="Q14" s="31"/>
      <c r="R14" s="31"/>
      <c r="S14" s="43"/>
      <c r="T14" s="43"/>
      <c r="U14" s="43"/>
    </row>
    <row r="15" hidden="1">
      <c r="A15" s="44"/>
      <c r="B15" s="32" t="s">
        <v>32</v>
      </c>
      <c r="C15" s="33" t="s">
        <v>23</v>
      </c>
      <c r="D15" s="34">
        <v>0.0</v>
      </c>
      <c r="E15" s="35">
        <f t="shared" si="1"/>
        <v>0</v>
      </c>
      <c r="F15" s="36"/>
      <c r="G15" s="36"/>
      <c r="H15" s="37"/>
      <c r="I15" s="38">
        <v>0.0</v>
      </c>
      <c r="J15" s="37"/>
      <c r="K15" s="52"/>
      <c r="L15" s="41" t="s">
        <v>24</v>
      </c>
      <c r="M15" s="42"/>
      <c r="N15" s="31"/>
      <c r="O15" s="31"/>
      <c r="P15" s="31"/>
      <c r="Q15" s="31"/>
      <c r="R15" s="31"/>
      <c r="S15" s="43"/>
      <c r="T15" s="43"/>
      <c r="U15" s="43"/>
    </row>
    <row r="16" hidden="1">
      <c r="A16" s="44"/>
      <c r="B16" s="53" t="s">
        <v>33</v>
      </c>
      <c r="C16" s="33" t="s">
        <v>23</v>
      </c>
      <c r="D16" s="34">
        <v>0.0</v>
      </c>
      <c r="E16" s="35">
        <f t="shared" si="1"/>
        <v>0</v>
      </c>
      <c r="F16" s="46"/>
      <c r="G16" s="46"/>
      <c r="H16" s="47"/>
      <c r="I16" s="38">
        <v>0.0</v>
      </c>
      <c r="J16" s="47"/>
      <c r="K16" s="48"/>
      <c r="L16" s="41" t="s">
        <v>24</v>
      </c>
      <c r="M16" s="42"/>
      <c r="N16" s="31"/>
      <c r="O16" s="31"/>
      <c r="P16" s="31"/>
      <c r="Q16" s="31"/>
      <c r="R16" s="31"/>
      <c r="S16" s="43"/>
      <c r="T16" s="43"/>
      <c r="U16" s="43"/>
    </row>
    <row r="17" hidden="1">
      <c r="A17" s="44"/>
      <c r="B17" s="32" t="s">
        <v>34</v>
      </c>
      <c r="C17" s="33" t="s">
        <v>23</v>
      </c>
      <c r="D17" s="34">
        <v>0.0</v>
      </c>
      <c r="E17" s="35">
        <f t="shared" si="1"/>
        <v>0</v>
      </c>
      <c r="F17" s="36"/>
      <c r="G17" s="36"/>
      <c r="H17" s="37"/>
      <c r="I17" s="38">
        <v>0.0</v>
      </c>
      <c r="J17" s="37"/>
      <c r="K17" s="52"/>
      <c r="L17" s="41" t="s">
        <v>24</v>
      </c>
      <c r="M17" s="42"/>
      <c r="N17" s="31"/>
      <c r="O17" s="31"/>
      <c r="P17" s="31"/>
      <c r="Q17" s="31"/>
      <c r="R17" s="31"/>
      <c r="S17" s="43"/>
      <c r="T17" s="43"/>
      <c r="U17" s="43"/>
    </row>
    <row r="18" hidden="1">
      <c r="A18" s="31"/>
      <c r="B18" s="50" t="s">
        <v>35</v>
      </c>
      <c r="C18" s="33" t="s">
        <v>23</v>
      </c>
      <c r="D18" s="34">
        <v>0.0</v>
      </c>
      <c r="E18" s="35">
        <f t="shared" si="1"/>
        <v>0</v>
      </c>
      <c r="F18" s="36"/>
      <c r="G18" s="36"/>
      <c r="H18" s="37"/>
      <c r="I18" s="38">
        <v>0.0</v>
      </c>
      <c r="J18" s="37"/>
      <c r="K18" s="52"/>
      <c r="L18" s="41" t="s">
        <v>24</v>
      </c>
      <c r="M18" s="42"/>
      <c r="N18" s="31"/>
      <c r="O18" s="31"/>
      <c r="P18" s="31"/>
      <c r="Q18" s="31"/>
      <c r="R18" s="31"/>
      <c r="S18" s="43"/>
      <c r="T18" s="43"/>
      <c r="U18" s="43"/>
    </row>
    <row r="19" hidden="1">
      <c r="A19" s="44"/>
      <c r="B19" s="54" t="s">
        <v>36</v>
      </c>
      <c r="C19" s="33" t="s">
        <v>23</v>
      </c>
      <c r="D19" s="34">
        <v>199.8</v>
      </c>
      <c r="E19" s="55">
        <v>0.0</v>
      </c>
      <c r="F19" s="46">
        <v>45803.0</v>
      </c>
      <c r="G19" s="46">
        <v>45810.0</v>
      </c>
      <c r="H19" s="47"/>
      <c r="I19" s="38">
        <v>0.0</v>
      </c>
      <c r="J19" s="47"/>
      <c r="K19" s="48"/>
      <c r="L19" s="41" t="s">
        <v>24</v>
      </c>
      <c r="M19" s="49" t="s">
        <v>37</v>
      </c>
      <c r="N19" s="31"/>
      <c r="O19" s="31"/>
      <c r="P19" s="31"/>
      <c r="Q19" s="31"/>
      <c r="R19" s="31"/>
      <c r="S19" s="43"/>
      <c r="T19" s="43"/>
      <c r="U19" s="43"/>
    </row>
    <row r="20" hidden="1">
      <c r="A20" s="44"/>
      <c r="B20" s="45" t="s">
        <v>38</v>
      </c>
      <c r="C20" s="33" t="s">
        <v>23</v>
      </c>
      <c r="D20" s="34">
        <v>1679.0</v>
      </c>
      <c r="E20" s="35">
        <f t="shared" ref="E20:E75" si="2">IF(D20&lt;&gt;"",D20-(I20*J20),"")</f>
        <v>1529</v>
      </c>
      <c r="F20" s="46">
        <v>46179.0</v>
      </c>
      <c r="G20" s="46">
        <v>46181.0</v>
      </c>
      <c r="H20" s="47"/>
      <c r="I20" s="38">
        <v>150.0</v>
      </c>
      <c r="J20" s="47">
        <v>1.0</v>
      </c>
      <c r="K20" s="48" t="s">
        <v>30</v>
      </c>
      <c r="L20" s="41" t="s">
        <v>4</v>
      </c>
      <c r="M20" s="49" t="s">
        <v>27</v>
      </c>
      <c r="N20" s="31"/>
      <c r="O20" s="31"/>
      <c r="P20" s="31"/>
      <c r="Q20" s="31"/>
      <c r="R20" s="31"/>
      <c r="S20" s="43"/>
      <c r="T20" s="43"/>
      <c r="U20" s="43"/>
    </row>
    <row r="21" hidden="1">
      <c r="A21" s="44"/>
      <c r="B21" s="56" t="s">
        <v>39</v>
      </c>
      <c r="C21" s="33" t="s">
        <v>23</v>
      </c>
      <c r="D21" s="34">
        <v>558.81</v>
      </c>
      <c r="E21" s="35">
        <f t="shared" si="2"/>
        <v>558.81</v>
      </c>
      <c r="F21" s="46">
        <v>46185.0</v>
      </c>
      <c r="G21" s="46">
        <v>46188.0</v>
      </c>
      <c r="H21" s="47"/>
      <c r="I21" s="38">
        <v>0.0</v>
      </c>
      <c r="J21" s="47"/>
      <c r="K21" s="48"/>
      <c r="L21" s="41" t="s">
        <v>40</v>
      </c>
      <c r="M21" s="49" t="s">
        <v>37</v>
      </c>
      <c r="N21" s="31"/>
      <c r="O21" s="31"/>
      <c r="P21" s="31"/>
      <c r="Q21" s="31"/>
      <c r="R21" s="31"/>
      <c r="S21" s="43"/>
      <c r="T21" s="43"/>
      <c r="U21" s="43"/>
    </row>
    <row r="22" hidden="1">
      <c r="A22" s="31"/>
      <c r="B22" s="57" t="s">
        <v>41</v>
      </c>
      <c r="C22" s="33" t="s">
        <v>23</v>
      </c>
      <c r="D22" s="34">
        <v>0.0</v>
      </c>
      <c r="E22" s="35">
        <f t="shared" si="2"/>
        <v>0</v>
      </c>
      <c r="F22" s="36"/>
      <c r="G22" s="36"/>
      <c r="H22" s="37"/>
      <c r="I22" s="38">
        <v>0.0</v>
      </c>
      <c r="J22" s="37"/>
      <c r="K22" s="52"/>
      <c r="L22" s="41" t="s">
        <v>24</v>
      </c>
      <c r="M22" s="42"/>
      <c r="N22" s="31"/>
      <c r="O22" s="31"/>
      <c r="P22" s="31"/>
      <c r="Q22" s="31"/>
      <c r="R22" s="31"/>
      <c r="S22" s="43"/>
      <c r="T22" s="43"/>
      <c r="U22" s="43"/>
    </row>
    <row r="23" hidden="1">
      <c r="A23" s="44"/>
      <c r="B23" s="56" t="s">
        <v>42</v>
      </c>
      <c r="C23" s="33" t="s">
        <v>23</v>
      </c>
      <c r="D23" s="34">
        <v>699.9</v>
      </c>
      <c r="E23" s="35">
        <f t="shared" si="2"/>
        <v>699.9</v>
      </c>
      <c r="F23" s="46">
        <v>46179.0</v>
      </c>
      <c r="G23" s="46">
        <v>46181.0</v>
      </c>
      <c r="H23" s="47"/>
      <c r="I23" s="38">
        <v>0.0</v>
      </c>
      <c r="J23" s="37"/>
      <c r="K23" s="52"/>
      <c r="L23" s="41" t="s">
        <v>40</v>
      </c>
      <c r="M23" s="49" t="s">
        <v>37</v>
      </c>
      <c r="N23" s="31"/>
      <c r="O23" s="31"/>
      <c r="P23" s="31"/>
      <c r="Q23" s="31"/>
      <c r="R23" s="31"/>
      <c r="S23" s="43"/>
      <c r="T23" s="43"/>
      <c r="U23" s="43"/>
    </row>
    <row r="24" hidden="1">
      <c r="A24" s="44"/>
      <c r="B24" s="51" t="s">
        <v>43</v>
      </c>
      <c r="C24" s="33" t="s">
        <v>23</v>
      </c>
      <c r="D24" s="34">
        <v>1067.8</v>
      </c>
      <c r="E24" s="35">
        <f t="shared" si="2"/>
        <v>717.8</v>
      </c>
      <c r="F24" s="46">
        <v>46179.0</v>
      </c>
      <c r="G24" s="46">
        <v>46181.0</v>
      </c>
      <c r="H24" s="47"/>
      <c r="I24" s="38">
        <v>350.0</v>
      </c>
      <c r="J24" s="47">
        <v>1.0</v>
      </c>
      <c r="K24" s="48" t="s">
        <v>30</v>
      </c>
      <c r="L24" s="41" t="s">
        <v>4</v>
      </c>
      <c r="M24" s="49" t="s">
        <v>27</v>
      </c>
      <c r="N24" s="31"/>
      <c r="O24" s="31"/>
      <c r="P24" s="31"/>
      <c r="Q24" s="31"/>
      <c r="R24" s="31"/>
      <c r="S24" s="43"/>
      <c r="T24" s="43"/>
      <c r="U24" s="43"/>
    </row>
    <row r="25" hidden="1">
      <c r="A25" s="44"/>
      <c r="B25" s="45" t="s">
        <v>44</v>
      </c>
      <c r="C25" s="33" t="s">
        <v>23</v>
      </c>
      <c r="D25" s="34">
        <v>588.7</v>
      </c>
      <c r="E25" s="35">
        <f t="shared" si="2"/>
        <v>438.7</v>
      </c>
      <c r="F25" s="46">
        <v>46179.0</v>
      </c>
      <c r="G25" s="46">
        <v>46181.0</v>
      </c>
      <c r="H25" s="47"/>
      <c r="I25" s="38">
        <v>150.0</v>
      </c>
      <c r="J25" s="47">
        <v>1.0</v>
      </c>
      <c r="K25" s="48" t="s">
        <v>30</v>
      </c>
      <c r="L25" s="41" t="s">
        <v>4</v>
      </c>
      <c r="M25" s="49" t="s">
        <v>27</v>
      </c>
      <c r="N25" s="31"/>
      <c r="O25" s="31"/>
      <c r="P25" s="31"/>
      <c r="Q25" s="31"/>
      <c r="R25" s="31"/>
      <c r="S25" s="43"/>
      <c r="T25" s="43"/>
      <c r="U25" s="43"/>
    </row>
    <row r="26" hidden="1">
      <c r="A26" s="31"/>
      <c r="B26" s="57" t="s">
        <v>45</v>
      </c>
      <c r="C26" s="33" t="s">
        <v>23</v>
      </c>
      <c r="D26" s="34">
        <v>0.0</v>
      </c>
      <c r="E26" s="35">
        <f t="shared" si="2"/>
        <v>0</v>
      </c>
      <c r="F26" s="36"/>
      <c r="G26" s="36"/>
      <c r="H26" s="37"/>
      <c r="I26" s="38">
        <v>0.0</v>
      </c>
      <c r="J26" s="37"/>
      <c r="K26" s="52"/>
      <c r="L26" s="41" t="s">
        <v>24</v>
      </c>
      <c r="M26" s="42"/>
      <c r="N26" s="31"/>
      <c r="O26" s="31"/>
      <c r="P26" s="31"/>
      <c r="Q26" s="31"/>
      <c r="R26" s="31"/>
      <c r="S26" s="43"/>
      <c r="T26" s="43"/>
      <c r="U26" s="43"/>
    </row>
    <row r="27" hidden="1">
      <c r="A27" s="44"/>
      <c r="B27" s="58" t="s">
        <v>46</v>
      </c>
      <c r="C27" s="33" t="s">
        <v>23</v>
      </c>
      <c r="D27" s="34">
        <v>399.0</v>
      </c>
      <c r="E27" s="35">
        <f t="shared" si="2"/>
        <v>399</v>
      </c>
      <c r="F27" s="46">
        <v>46179.0</v>
      </c>
      <c r="G27" s="46">
        <v>46181.0</v>
      </c>
      <c r="H27" s="37"/>
      <c r="I27" s="38">
        <v>0.0</v>
      </c>
      <c r="J27" s="37"/>
      <c r="K27" s="52"/>
      <c r="L27" s="41" t="s">
        <v>40</v>
      </c>
      <c r="M27" s="49" t="s">
        <v>37</v>
      </c>
      <c r="N27" s="31"/>
      <c r="O27" s="31"/>
      <c r="P27" s="31"/>
      <c r="Q27" s="31"/>
      <c r="R27" s="31"/>
      <c r="S27" s="43"/>
      <c r="T27" s="43"/>
      <c r="U27" s="43"/>
    </row>
    <row r="28">
      <c r="A28" s="44"/>
      <c r="B28" s="59" t="s">
        <v>47</v>
      </c>
      <c r="C28" s="33" t="s">
        <v>23</v>
      </c>
      <c r="D28" s="34">
        <v>119.8</v>
      </c>
      <c r="E28" s="35">
        <f t="shared" si="2"/>
        <v>119.8</v>
      </c>
      <c r="F28" s="46">
        <v>46179.0</v>
      </c>
      <c r="G28" s="46">
        <v>46181.0</v>
      </c>
      <c r="H28" s="47"/>
      <c r="I28" s="38">
        <v>0.0</v>
      </c>
      <c r="J28" s="37"/>
      <c r="K28" s="52"/>
      <c r="L28" s="41" t="s">
        <v>48</v>
      </c>
      <c r="M28" s="49" t="s">
        <v>37</v>
      </c>
      <c r="N28" s="31"/>
      <c r="O28" s="31"/>
      <c r="P28" s="31"/>
      <c r="Q28" s="31"/>
      <c r="R28" s="31"/>
      <c r="S28" s="43"/>
      <c r="T28" s="43"/>
      <c r="U28" s="43"/>
    </row>
    <row r="29" hidden="1">
      <c r="A29" s="60"/>
      <c r="B29" s="61" t="s">
        <v>49</v>
      </c>
      <c r="C29" s="33" t="s">
        <v>23</v>
      </c>
      <c r="D29" s="34">
        <v>0.0</v>
      </c>
      <c r="E29" s="35">
        <f t="shared" si="2"/>
        <v>0</v>
      </c>
      <c r="F29" s="36"/>
      <c r="G29" s="36"/>
      <c r="H29" s="37"/>
      <c r="I29" s="38">
        <v>0.0</v>
      </c>
      <c r="J29" s="37"/>
      <c r="K29" s="52"/>
      <c r="L29" s="41" t="s">
        <v>24</v>
      </c>
      <c r="M29" s="42"/>
      <c r="N29" s="31"/>
      <c r="O29" s="31"/>
      <c r="P29" s="31"/>
      <c r="Q29" s="31"/>
      <c r="R29" s="31"/>
      <c r="S29" s="43"/>
      <c r="T29" s="43"/>
      <c r="U29" s="43"/>
    </row>
    <row r="30" hidden="1">
      <c r="A30" s="31"/>
      <c r="B30" s="51" t="s">
        <v>50</v>
      </c>
      <c r="C30" s="33" t="s">
        <v>23</v>
      </c>
      <c r="D30" s="34">
        <v>149.4</v>
      </c>
      <c r="E30" s="35">
        <f t="shared" si="2"/>
        <v>99.5</v>
      </c>
      <c r="F30" s="46">
        <v>46179.0</v>
      </c>
      <c r="G30" s="46">
        <v>46181.0</v>
      </c>
      <c r="H30" s="47"/>
      <c r="I30" s="38">
        <v>49.9</v>
      </c>
      <c r="J30" s="47">
        <v>1.0</v>
      </c>
      <c r="K30" s="48" t="s">
        <v>30</v>
      </c>
      <c r="L30" s="41" t="s">
        <v>4</v>
      </c>
      <c r="M30" s="49" t="s">
        <v>27</v>
      </c>
      <c r="N30" s="31"/>
      <c r="O30" s="31"/>
      <c r="P30" s="31"/>
      <c r="Q30" s="31"/>
      <c r="R30" s="31"/>
      <c r="S30" s="43"/>
      <c r="T30" s="43"/>
      <c r="U30" s="43"/>
    </row>
    <row r="31" hidden="1">
      <c r="A31" s="44"/>
      <c r="B31" s="62" t="s">
        <v>51</v>
      </c>
      <c r="C31" s="33" t="s">
        <v>23</v>
      </c>
      <c r="D31" s="34">
        <v>0.0</v>
      </c>
      <c r="E31" s="35">
        <f t="shared" si="2"/>
        <v>0</v>
      </c>
      <c r="F31" s="36"/>
      <c r="G31" s="36"/>
      <c r="H31" s="37"/>
      <c r="I31" s="38">
        <v>0.0</v>
      </c>
      <c r="J31" s="37"/>
      <c r="K31" s="52"/>
      <c r="L31" s="41" t="s">
        <v>24</v>
      </c>
      <c r="M31" s="42"/>
      <c r="N31" s="31"/>
      <c r="O31" s="31"/>
      <c r="P31" s="31"/>
      <c r="Q31" s="31"/>
      <c r="R31" s="31"/>
      <c r="S31" s="43"/>
      <c r="T31" s="43"/>
      <c r="U31" s="43"/>
    </row>
    <row r="32" hidden="1">
      <c r="A32" s="44"/>
      <c r="B32" s="57" t="s">
        <v>52</v>
      </c>
      <c r="C32" s="33" t="s">
        <v>23</v>
      </c>
      <c r="D32" s="34">
        <v>0.0</v>
      </c>
      <c r="E32" s="35">
        <f t="shared" si="2"/>
        <v>0</v>
      </c>
      <c r="F32" s="36"/>
      <c r="G32" s="36"/>
      <c r="H32" s="37"/>
      <c r="I32" s="38">
        <v>0.0</v>
      </c>
      <c r="J32" s="37"/>
      <c r="K32" s="52"/>
      <c r="L32" s="41" t="s">
        <v>24</v>
      </c>
      <c r="M32" s="42"/>
      <c r="N32" s="31"/>
      <c r="O32" s="31"/>
      <c r="P32" s="31"/>
      <c r="Q32" s="31"/>
      <c r="R32" s="31"/>
      <c r="S32" s="43"/>
      <c r="T32" s="43"/>
      <c r="U32" s="43"/>
    </row>
    <row r="33" hidden="1">
      <c r="A33" s="44"/>
      <c r="B33" s="45" t="s">
        <v>53</v>
      </c>
      <c r="C33" s="33" t="s">
        <v>23</v>
      </c>
      <c r="D33" s="34">
        <v>1228.78</v>
      </c>
      <c r="E33" s="35">
        <f t="shared" si="2"/>
        <v>1098.78</v>
      </c>
      <c r="F33" s="46">
        <v>46179.0</v>
      </c>
      <c r="G33" s="46">
        <v>46181.0</v>
      </c>
      <c r="H33" s="37"/>
      <c r="I33" s="38">
        <v>130.0</v>
      </c>
      <c r="J33" s="47">
        <v>1.0</v>
      </c>
      <c r="K33" s="48" t="s">
        <v>30</v>
      </c>
      <c r="L33" s="41" t="s">
        <v>4</v>
      </c>
      <c r="M33" s="49" t="s">
        <v>27</v>
      </c>
      <c r="N33" s="31"/>
      <c r="O33" s="31"/>
      <c r="P33" s="31"/>
      <c r="Q33" s="31"/>
      <c r="R33" s="31"/>
      <c r="S33" s="43"/>
      <c r="T33" s="43"/>
      <c r="U33" s="43"/>
    </row>
    <row r="34" hidden="1">
      <c r="A34" s="31"/>
      <c r="B34" s="51" t="s">
        <v>54</v>
      </c>
      <c r="C34" s="33" t="s">
        <v>23</v>
      </c>
      <c r="D34" s="34">
        <v>348.9</v>
      </c>
      <c r="E34" s="35">
        <f t="shared" si="2"/>
        <v>248.9</v>
      </c>
      <c r="F34" s="46">
        <v>46179.0</v>
      </c>
      <c r="G34" s="46">
        <v>46181.0</v>
      </c>
      <c r="H34" s="37"/>
      <c r="I34" s="38">
        <v>100.0</v>
      </c>
      <c r="J34" s="47">
        <v>1.0</v>
      </c>
      <c r="K34" s="48" t="s">
        <v>55</v>
      </c>
      <c r="L34" s="41" t="s">
        <v>4</v>
      </c>
      <c r="M34" s="49" t="s">
        <v>27</v>
      </c>
      <c r="N34" s="31"/>
      <c r="O34" s="31"/>
      <c r="P34" s="31"/>
      <c r="Q34" s="31"/>
      <c r="R34" s="31"/>
      <c r="S34" s="43"/>
      <c r="T34" s="43"/>
      <c r="U34" s="43"/>
    </row>
    <row r="35" hidden="1">
      <c r="A35" s="44"/>
      <c r="B35" s="53" t="s">
        <v>56</v>
      </c>
      <c r="C35" s="33" t="s">
        <v>23</v>
      </c>
      <c r="D35" s="34">
        <v>0.0</v>
      </c>
      <c r="E35" s="35">
        <f t="shared" si="2"/>
        <v>0</v>
      </c>
      <c r="F35" s="36"/>
      <c r="G35" s="36"/>
      <c r="H35" s="37"/>
      <c r="I35" s="38">
        <v>0.0</v>
      </c>
      <c r="J35" s="37"/>
      <c r="K35" s="52"/>
      <c r="L35" s="41" t="s">
        <v>24</v>
      </c>
      <c r="M35" s="42"/>
      <c r="N35" s="31"/>
      <c r="O35" s="31"/>
      <c r="P35" s="31"/>
      <c r="Q35" s="31"/>
      <c r="R35" s="31"/>
      <c r="S35" s="43"/>
      <c r="T35" s="43"/>
      <c r="U35" s="43"/>
    </row>
    <row r="36" hidden="1">
      <c r="A36" s="44"/>
      <c r="B36" s="32" t="s">
        <v>57</v>
      </c>
      <c r="C36" s="33" t="s">
        <v>23</v>
      </c>
      <c r="D36" s="34">
        <v>0.0</v>
      </c>
      <c r="E36" s="35">
        <f t="shared" si="2"/>
        <v>0</v>
      </c>
      <c r="F36" s="36"/>
      <c r="G36" s="36"/>
      <c r="H36" s="37"/>
      <c r="I36" s="38">
        <v>0.0</v>
      </c>
      <c r="J36" s="37"/>
      <c r="K36" s="52"/>
      <c r="L36" s="41" t="s">
        <v>24</v>
      </c>
      <c r="M36" s="42"/>
      <c r="N36" s="31"/>
      <c r="O36" s="31"/>
      <c r="P36" s="31"/>
      <c r="Q36" s="31"/>
      <c r="R36" s="31"/>
      <c r="S36" s="43"/>
      <c r="T36" s="43"/>
      <c r="U36" s="43"/>
    </row>
    <row r="37" hidden="1">
      <c r="A37" s="44"/>
      <c r="B37" s="32" t="s">
        <v>58</v>
      </c>
      <c r="C37" s="33" t="s">
        <v>23</v>
      </c>
      <c r="D37" s="34">
        <v>0.0</v>
      </c>
      <c r="E37" s="35">
        <f t="shared" si="2"/>
        <v>0</v>
      </c>
      <c r="F37" s="36"/>
      <c r="G37" s="36"/>
      <c r="H37" s="37"/>
      <c r="I37" s="38">
        <v>0.0</v>
      </c>
      <c r="J37" s="37"/>
      <c r="K37" s="52"/>
      <c r="L37" s="41" t="s">
        <v>24</v>
      </c>
      <c r="M37" s="42"/>
      <c r="N37" s="31"/>
      <c r="O37" s="31"/>
      <c r="P37" s="31"/>
      <c r="Q37" s="31"/>
      <c r="R37" s="31"/>
      <c r="S37" s="43"/>
      <c r="T37" s="43"/>
      <c r="U37" s="43"/>
    </row>
    <row r="38">
      <c r="A38" s="31"/>
      <c r="B38" s="63" t="s">
        <v>59</v>
      </c>
      <c r="C38" s="33" t="s">
        <v>23</v>
      </c>
      <c r="D38" s="34">
        <v>988.5</v>
      </c>
      <c r="E38" s="35">
        <f t="shared" si="2"/>
        <v>988.5</v>
      </c>
      <c r="F38" s="46">
        <v>46179.0</v>
      </c>
      <c r="G38" s="46">
        <v>46181.0</v>
      </c>
      <c r="H38" s="47"/>
      <c r="I38" s="38">
        <v>0.0</v>
      </c>
      <c r="J38" s="47"/>
      <c r="K38" s="48"/>
      <c r="L38" s="41" t="s">
        <v>48</v>
      </c>
      <c r="M38" s="49" t="s">
        <v>37</v>
      </c>
      <c r="N38" s="31"/>
      <c r="O38" s="31"/>
      <c r="P38" s="31"/>
      <c r="Q38" s="31"/>
      <c r="R38" s="31"/>
      <c r="S38" s="31"/>
      <c r="T38" s="43"/>
      <c r="U38" s="43"/>
    </row>
    <row r="39" hidden="1">
      <c r="A39" s="44"/>
      <c r="B39" s="45" t="s">
        <v>60</v>
      </c>
      <c r="C39" s="33" t="s">
        <v>23</v>
      </c>
      <c r="D39" s="34">
        <v>348.9</v>
      </c>
      <c r="E39" s="35">
        <f t="shared" si="2"/>
        <v>248.9</v>
      </c>
      <c r="F39" s="46">
        <v>46179.0</v>
      </c>
      <c r="G39" s="46">
        <v>46181.0</v>
      </c>
      <c r="H39" s="47"/>
      <c r="I39" s="38">
        <v>100.0</v>
      </c>
      <c r="J39" s="47">
        <v>1.0</v>
      </c>
      <c r="K39" s="48" t="s">
        <v>30</v>
      </c>
      <c r="L39" s="41" t="s">
        <v>4</v>
      </c>
      <c r="M39" s="49" t="s">
        <v>27</v>
      </c>
      <c r="N39" s="31"/>
      <c r="O39" s="31"/>
      <c r="P39" s="31"/>
      <c r="Q39" s="31"/>
      <c r="R39" s="31"/>
      <c r="S39" s="31"/>
      <c r="T39" s="43"/>
      <c r="U39" s="43"/>
    </row>
    <row r="40" hidden="1">
      <c r="A40" s="44"/>
      <c r="B40" s="32" t="s">
        <v>61</v>
      </c>
      <c r="C40" s="33" t="s">
        <v>23</v>
      </c>
      <c r="D40" s="34">
        <v>0.0</v>
      </c>
      <c r="E40" s="35">
        <f t="shared" si="2"/>
        <v>0</v>
      </c>
      <c r="F40" s="36"/>
      <c r="G40" s="36"/>
      <c r="H40" s="37"/>
      <c r="I40" s="38">
        <v>0.0</v>
      </c>
      <c r="J40" s="37"/>
      <c r="K40" s="52"/>
      <c r="L40" s="41" t="s">
        <v>24</v>
      </c>
      <c r="M40" s="42"/>
      <c r="N40" s="31"/>
      <c r="O40" s="31"/>
      <c r="P40" s="31"/>
      <c r="Q40" s="31"/>
      <c r="R40" s="31"/>
      <c r="S40" s="31"/>
      <c r="T40" s="43"/>
      <c r="U40" s="43"/>
    </row>
    <row r="41" hidden="1">
      <c r="A41" s="31"/>
      <c r="B41" s="51" t="s">
        <v>62</v>
      </c>
      <c r="C41" s="33" t="s">
        <v>23</v>
      </c>
      <c r="D41" s="34">
        <v>79.9</v>
      </c>
      <c r="E41" s="35">
        <f t="shared" si="2"/>
        <v>-0.1</v>
      </c>
      <c r="F41" s="46">
        <v>46179.0</v>
      </c>
      <c r="G41" s="46">
        <v>46181.0</v>
      </c>
      <c r="H41" s="37"/>
      <c r="I41" s="38">
        <v>80.0</v>
      </c>
      <c r="J41" s="47">
        <v>1.0</v>
      </c>
      <c r="K41" s="48" t="s">
        <v>30</v>
      </c>
      <c r="L41" s="41" t="s">
        <v>4</v>
      </c>
      <c r="M41" s="49" t="s">
        <v>27</v>
      </c>
      <c r="N41" s="31"/>
      <c r="O41" s="31"/>
      <c r="P41" s="31"/>
      <c r="Q41" s="31"/>
      <c r="R41" s="31"/>
      <c r="S41" s="31"/>
      <c r="T41" s="43"/>
      <c r="U41" s="43"/>
    </row>
    <row r="42" hidden="1">
      <c r="A42" s="44"/>
      <c r="B42" s="62" t="s">
        <v>63</v>
      </c>
      <c r="C42" s="33" t="s">
        <v>23</v>
      </c>
      <c r="D42" s="34">
        <v>0.0</v>
      </c>
      <c r="E42" s="35">
        <f t="shared" si="2"/>
        <v>0</v>
      </c>
      <c r="F42" s="36"/>
      <c r="G42" s="36"/>
      <c r="H42" s="37"/>
      <c r="I42" s="38">
        <v>0.0</v>
      </c>
      <c r="J42" s="37"/>
      <c r="K42" s="52"/>
      <c r="L42" s="41" t="s">
        <v>24</v>
      </c>
      <c r="M42" s="42"/>
      <c r="N42" s="31"/>
      <c r="O42" s="31"/>
      <c r="P42" s="31"/>
      <c r="Q42" s="31"/>
      <c r="R42" s="31"/>
      <c r="S42" s="31"/>
      <c r="T42" s="43"/>
      <c r="U42" s="43"/>
    </row>
    <row r="43" hidden="1">
      <c r="A43" s="44"/>
      <c r="B43" s="45" t="s">
        <v>64</v>
      </c>
      <c r="C43" s="33" t="s">
        <v>23</v>
      </c>
      <c r="D43" s="34">
        <v>1145.2</v>
      </c>
      <c r="E43" s="35">
        <f t="shared" si="2"/>
        <v>1045.2</v>
      </c>
      <c r="F43" s="46">
        <v>46179.0</v>
      </c>
      <c r="G43" s="46">
        <v>46181.0</v>
      </c>
      <c r="H43" s="47"/>
      <c r="I43" s="38">
        <v>100.0</v>
      </c>
      <c r="J43" s="47">
        <v>1.0</v>
      </c>
      <c r="K43" s="48" t="s">
        <v>30</v>
      </c>
      <c r="L43" s="41" t="s">
        <v>4</v>
      </c>
      <c r="M43" s="49" t="s">
        <v>27</v>
      </c>
      <c r="N43" s="31"/>
      <c r="O43" s="31"/>
      <c r="P43" s="31"/>
      <c r="Q43" s="31"/>
      <c r="R43" s="31"/>
      <c r="S43" s="31"/>
      <c r="T43" s="43"/>
      <c r="U43" s="43"/>
    </row>
    <row r="44" hidden="1">
      <c r="A44" s="31"/>
      <c r="B44" s="57" t="s">
        <v>65</v>
      </c>
      <c r="C44" s="33" t="s">
        <v>23</v>
      </c>
      <c r="D44" s="34">
        <v>0.0</v>
      </c>
      <c r="E44" s="35">
        <f t="shared" si="2"/>
        <v>0</v>
      </c>
      <c r="F44" s="36"/>
      <c r="G44" s="36"/>
      <c r="H44" s="37"/>
      <c r="I44" s="38">
        <v>0.0</v>
      </c>
      <c r="J44" s="37"/>
      <c r="K44" s="52"/>
      <c r="L44" s="41" t="s">
        <v>24</v>
      </c>
      <c r="M44" s="42"/>
      <c r="N44" s="31"/>
      <c r="O44" s="31"/>
      <c r="P44" s="31"/>
      <c r="Q44" s="31"/>
      <c r="R44" s="31"/>
      <c r="S44" s="31"/>
      <c r="T44" s="43"/>
      <c r="U44" s="43"/>
    </row>
    <row r="45" hidden="1">
      <c r="A45" s="44"/>
      <c r="B45" s="62" t="s">
        <v>66</v>
      </c>
      <c r="C45" s="33" t="s">
        <v>23</v>
      </c>
      <c r="D45" s="34">
        <v>0.0</v>
      </c>
      <c r="E45" s="35">
        <f t="shared" si="2"/>
        <v>0</v>
      </c>
      <c r="F45" s="36"/>
      <c r="G45" s="36"/>
      <c r="H45" s="37"/>
      <c r="I45" s="38">
        <v>0.0</v>
      </c>
      <c r="J45" s="37"/>
      <c r="K45" s="52"/>
      <c r="L45" s="41" t="s">
        <v>24</v>
      </c>
      <c r="M45" s="42"/>
      <c r="N45" s="31"/>
      <c r="O45" s="31"/>
      <c r="P45" s="31"/>
      <c r="Q45" s="31"/>
      <c r="R45" s="31"/>
      <c r="S45" s="31"/>
      <c r="T45" s="43"/>
      <c r="U45" s="43"/>
    </row>
    <row r="46" hidden="1">
      <c r="A46" s="44"/>
      <c r="B46" s="45" t="s">
        <v>67</v>
      </c>
      <c r="C46" s="33" t="s">
        <v>23</v>
      </c>
      <c r="D46" s="34">
        <v>206.4</v>
      </c>
      <c r="E46" s="35">
        <f t="shared" si="2"/>
        <v>89.4</v>
      </c>
      <c r="F46" s="46">
        <v>46179.0</v>
      </c>
      <c r="G46" s="46">
        <v>46181.0</v>
      </c>
      <c r="H46" s="47"/>
      <c r="I46" s="38">
        <v>117.0</v>
      </c>
      <c r="J46" s="47">
        <v>1.0</v>
      </c>
      <c r="K46" s="48" t="s">
        <v>30</v>
      </c>
      <c r="L46" s="41" t="s">
        <v>4</v>
      </c>
      <c r="M46" s="49" t="s">
        <v>27</v>
      </c>
      <c r="N46" s="31"/>
      <c r="O46" s="31"/>
      <c r="P46" s="31"/>
      <c r="Q46" s="31"/>
      <c r="R46" s="31"/>
      <c r="S46" s="31"/>
      <c r="T46" s="43"/>
      <c r="U46" s="43"/>
    </row>
    <row r="47" hidden="1">
      <c r="A47" s="44"/>
      <c r="B47" s="57" t="s">
        <v>68</v>
      </c>
      <c r="C47" s="33" t="s">
        <v>23</v>
      </c>
      <c r="D47" s="34">
        <v>0.0</v>
      </c>
      <c r="E47" s="35">
        <f t="shared" si="2"/>
        <v>0</v>
      </c>
      <c r="F47" s="36"/>
      <c r="G47" s="36"/>
      <c r="H47" s="37"/>
      <c r="I47" s="38">
        <v>0.0</v>
      </c>
      <c r="J47" s="37"/>
      <c r="K47" s="52"/>
      <c r="L47" s="41" t="s">
        <v>24</v>
      </c>
      <c r="M47" s="42"/>
      <c r="N47" s="31"/>
      <c r="O47" s="31"/>
      <c r="P47" s="31"/>
      <c r="Q47" s="31"/>
      <c r="R47" s="31"/>
      <c r="S47" s="31"/>
      <c r="T47" s="43"/>
      <c r="U47" s="43"/>
    </row>
    <row r="48" hidden="1">
      <c r="A48" s="31"/>
      <c r="B48" s="32" t="s">
        <v>69</v>
      </c>
      <c r="C48" s="33" t="s">
        <v>23</v>
      </c>
      <c r="D48" s="34">
        <v>0.0</v>
      </c>
      <c r="E48" s="35">
        <f t="shared" si="2"/>
        <v>0</v>
      </c>
      <c r="F48" s="36"/>
      <c r="G48" s="36"/>
      <c r="H48" s="37"/>
      <c r="I48" s="38">
        <v>0.0</v>
      </c>
      <c r="J48" s="37"/>
      <c r="K48" s="52"/>
      <c r="L48" s="41" t="s">
        <v>24</v>
      </c>
      <c r="M48" s="42"/>
      <c r="N48" s="31"/>
      <c r="O48" s="31"/>
      <c r="P48" s="31"/>
      <c r="Q48" s="31"/>
      <c r="R48" s="31"/>
      <c r="S48" s="31"/>
      <c r="T48" s="43"/>
      <c r="U48" s="43"/>
    </row>
    <row r="49" hidden="1">
      <c r="A49" s="31"/>
      <c r="B49" s="51" t="s">
        <v>70</v>
      </c>
      <c r="C49" s="33" t="s">
        <v>23</v>
      </c>
      <c r="D49" s="34">
        <v>598.7</v>
      </c>
      <c r="E49" s="35">
        <f t="shared" si="2"/>
        <v>498.7</v>
      </c>
      <c r="F49" s="46">
        <v>46179.0</v>
      </c>
      <c r="G49" s="46">
        <v>46181.0</v>
      </c>
      <c r="H49" s="64"/>
      <c r="I49" s="38">
        <v>100.0</v>
      </c>
      <c r="J49" s="64">
        <v>1.0</v>
      </c>
      <c r="K49" s="64" t="s">
        <v>30</v>
      </c>
      <c r="L49" s="41" t="s">
        <v>4</v>
      </c>
      <c r="M49" s="49" t="s">
        <v>27</v>
      </c>
      <c r="N49" s="31"/>
      <c r="O49" s="31"/>
      <c r="P49" s="31"/>
      <c r="Q49" s="31"/>
      <c r="R49" s="31"/>
      <c r="S49" s="31"/>
      <c r="T49" s="43"/>
      <c r="U49" s="43"/>
    </row>
    <row r="50" hidden="1">
      <c r="A50" s="31"/>
      <c r="B50" s="51" t="s">
        <v>71</v>
      </c>
      <c r="C50" s="33" t="s">
        <v>23</v>
      </c>
      <c r="D50" s="34">
        <v>99.9</v>
      </c>
      <c r="E50" s="35">
        <f t="shared" si="2"/>
        <v>50</v>
      </c>
      <c r="F50" s="46">
        <v>46179.0</v>
      </c>
      <c r="G50" s="46">
        <v>46181.0</v>
      </c>
      <c r="H50" s="64"/>
      <c r="I50" s="38">
        <v>49.9</v>
      </c>
      <c r="J50" s="64">
        <v>1.0</v>
      </c>
      <c r="K50" s="64" t="s">
        <v>30</v>
      </c>
      <c r="L50" s="41" t="s">
        <v>4</v>
      </c>
      <c r="M50" s="49" t="s">
        <v>27</v>
      </c>
      <c r="N50" s="31"/>
      <c r="O50" s="31"/>
      <c r="P50" s="31"/>
      <c r="Q50" s="31"/>
      <c r="R50" s="31"/>
      <c r="S50" s="31"/>
      <c r="T50" s="31"/>
      <c r="U50" s="31"/>
    </row>
    <row r="51" hidden="1">
      <c r="A51" s="65"/>
      <c r="B51" s="53" t="s">
        <v>72</v>
      </c>
      <c r="C51" s="33" t="s">
        <v>23</v>
      </c>
      <c r="D51" s="34">
        <v>0.0</v>
      </c>
      <c r="E51" s="35">
        <f t="shared" si="2"/>
        <v>0</v>
      </c>
      <c r="F51" s="36"/>
      <c r="G51" s="36"/>
      <c r="H51" s="66"/>
      <c r="I51" s="38">
        <v>0.0</v>
      </c>
      <c r="J51" s="66"/>
      <c r="K51" s="66"/>
      <c r="L51" s="41" t="s">
        <v>24</v>
      </c>
      <c r="M51" s="42"/>
    </row>
    <row r="52" hidden="1">
      <c r="A52" s="65"/>
      <c r="B52" s="32" t="s">
        <v>73</v>
      </c>
      <c r="C52" s="33" t="s">
        <v>23</v>
      </c>
      <c r="D52" s="34">
        <v>0.0</v>
      </c>
      <c r="E52" s="35">
        <f t="shared" si="2"/>
        <v>0</v>
      </c>
      <c r="F52" s="36"/>
      <c r="G52" s="36"/>
      <c r="H52" s="66"/>
      <c r="I52" s="38">
        <v>0.0</v>
      </c>
      <c r="J52" s="66"/>
      <c r="K52" s="66"/>
      <c r="L52" s="41" t="s">
        <v>24</v>
      </c>
      <c r="M52" s="42"/>
    </row>
    <row r="53" hidden="1">
      <c r="A53" s="65"/>
      <c r="B53" s="51" t="s">
        <v>74</v>
      </c>
      <c r="C53" s="33" t="s">
        <v>23</v>
      </c>
      <c r="D53" s="34">
        <v>149.8</v>
      </c>
      <c r="E53" s="35">
        <f t="shared" si="2"/>
        <v>99.8</v>
      </c>
      <c r="F53" s="46">
        <v>46179.0</v>
      </c>
      <c r="G53" s="46">
        <v>46181.0</v>
      </c>
      <c r="H53" s="64"/>
      <c r="I53" s="38">
        <v>50.0</v>
      </c>
      <c r="J53" s="64">
        <v>1.0</v>
      </c>
      <c r="K53" s="64" t="s">
        <v>30</v>
      </c>
      <c r="L53" s="41" t="s">
        <v>4</v>
      </c>
      <c r="M53" s="49" t="s">
        <v>27</v>
      </c>
    </row>
    <row r="54" hidden="1">
      <c r="A54" s="67"/>
      <c r="B54" s="32" t="s">
        <v>75</v>
      </c>
      <c r="C54" s="33" t="s">
        <v>23</v>
      </c>
      <c r="D54" s="34">
        <v>0.0</v>
      </c>
      <c r="E54" s="35">
        <f t="shared" si="2"/>
        <v>0</v>
      </c>
      <c r="F54" s="36"/>
      <c r="G54" s="36"/>
      <c r="H54" s="66"/>
      <c r="I54" s="38">
        <v>0.0</v>
      </c>
      <c r="J54" s="66"/>
      <c r="K54" s="66"/>
      <c r="L54" s="41" t="s">
        <v>24</v>
      </c>
      <c r="M54" s="42"/>
    </row>
    <row r="55" hidden="1">
      <c r="A55" s="65"/>
      <c r="B55" s="68" t="s">
        <v>76</v>
      </c>
      <c r="C55" s="33" t="s">
        <v>23</v>
      </c>
      <c r="D55" s="34">
        <v>0.0</v>
      </c>
      <c r="E55" s="35">
        <f t="shared" si="2"/>
        <v>0</v>
      </c>
      <c r="F55" s="36"/>
      <c r="G55" s="36"/>
      <c r="H55" s="66"/>
      <c r="I55" s="38">
        <v>0.0</v>
      </c>
      <c r="J55" s="66"/>
      <c r="K55" s="66"/>
      <c r="L55" s="41" t="s">
        <v>24</v>
      </c>
      <c r="M55" s="42"/>
    </row>
    <row r="56" hidden="1">
      <c r="A56" s="65"/>
      <c r="B56" s="57" t="s">
        <v>77</v>
      </c>
      <c r="C56" s="33" t="s">
        <v>23</v>
      </c>
      <c r="D56" s="34">
        <v>0.0</v>
      </c>
      <c r="E56" s="35">
        <f t="shared" si="2"/>
        <v>0</v>
      </c>
      <c r="F56" s="36"/>
      <c r="G56" s="36"/>
      <c r="H56" s="64"/>
      <c r="I56" s="38">
        <v>0.0</v>
      </c>
      <c r="J56" s="64"/>
      <c r="K56" s="64"/>
      <c r="L56" s="41" t="s">
        <v>24</v>
      </c>
      <c r="M56" s="42"/>
    </row>
    <row r="57" hidden="1">
      <c r="A57" s="65"/>
      <c r="B57" s="57" t="s">
        <v>78</v>
      </c>
      <c r="C57" s="33" t="s">
        <v>23</v>
      </c>
      <c r="D57" s="34">
        <v>0.0</v>
      </c>
      <c r="E57" s="35">
        <f t="shared" si="2"/>
        <v>0</v>
      </c>
      <c r="F57" s="36"/>
      <c r="G57" s="36"/>
      <c r="H57" s="66"/>
      <c r="I57" s="38">
        <v>0.0</v>
      </c>
      <c r="J57" s="66"/>
      <c r="K57" s="66"/>
      <c r="L57" s="41" t="s">
        <v>24</v>
      </c>
      <c r="M57" s="42"/>
    </row>
    <row r="58" hidden="1">
      <c r="A58" s="67"/>
      <c r="B58" s="32" t="s">
        <v>79</v>
      </c>
      <c r="C58" s="33" t="s">
        <v>23</v>
      </c>
      <c r="D58" s="34">
        <v>0.0</v>
      </c>
      <c r="E58" s="35">
        <f t="shared" si="2"/>
        <v>0</v>
      </c>
      <c r="F58" s="36"/>
      <c r="G58" s="36"/>
      <c r="H58" s="66"/>
      <c r="I58" s="38">
        <v>0.0</v>
      </c>
      <c r="J58" s="66"/>
      <c r="K58" s="66"/>
      <c r="L58" s="41" t="s">
        <v>24</v>
      </c>
      <c r="M58" s="42"/>
    </row>
    <row r="59" hidden="1">
      <c r="A59" s="65"/>
      <c r="B59" s="69" t="s">
        <v>80</v>
      </c>
      <c r="C59" s="33" t="s">
        <v>23</v>
      </c>
      <c r="D59" s="34">
        <v>350.0</v>
      </c>
      <c r="E59" s="35">
        <f t="shared" si="2"/>
        <v>350</v>
      </c>
      <c r="F59" s="46">
        <v>46179.0</v>
      </c>
      <c r="G59" s="46">
        <v>46181.0</v>
      </c>
      <c r="H59" s="66"/>
      <c r="I59" s="38">
        <v>0.0</v>
      </c>
      <c r="J59" s="66"/>
      <c r="K59" s="66"/>
      <c r="L59" s="41" t="s">
        <v>40</v>
      </c>
      <c r="M59" s="49" t="s">
        <v>37</v>
      </c>
    </row>
    <row r="60" hidden="1">
      <c r="A60" s="65"/>
      <c r="B60" s="32" t="s">
        <v>81</v>
      </c>
      <c r="C60" s="33" t="s">
        <v>23</v>
      </c>
      <c r="D60" s="34">
        <v>0.0</v>
      </c>
      <c r="E60" s="35">
        <f t="shared" si="2"/>
        <v>0</v>
      </c>
      <c r="F60" s="36"/>
      <c r="G60" s="36"/>
      <c r="H60" s="66"/>
      <c r="I60" s="38">
        <v>0.0</v>
      </c>
      <c r="J60" s="66"/>
      <c r="K60" s="66"/>
      <c r="L60" s="41" t="s">
        <v>24</v>
      </c>
      <c r="M60" s="42"/>
    </row>
    <row r="61" hidden="1">
      <c r="A61" s="65"/>
      <c r="B61" s="32" t="s">
        <v>82</v>
      </c>
      <c r="C61" s="33" t="s">
        <v>23</v>
      </c>
      <c r="D61" s="34">
        <v>0.0</v>
      </c>
      <c r="E61" s="35">
        <f t="shared" si="2"/>
        <v>0</v>
      </c>
      <c r="F61" s="36"/>
      <c r="G61" s="36"/>
      <c r="H61" s="66"/>
      <c r="I61" s="38">
        <v>0.0</v>
      </c>
      <c r="J61" s="66"/>
      <c r="K61" s="66"/>
      <c r="L61" s="41" t="s">
        <v>24</v>
      </c>
      <c r="M61" s="42"/>
    </row>
    <row r="62">
      <c r="A62" s="67"/>
      <c r="B62" s="63" t="s">
        <v>83</v>
      </c>
      <c r="C62" s="33" t="s">
        <v>23</v>
      </c>
      <c r="D62" s="34">
        <v>199.0</v>
      </c>
      <c r="E62" s="35">
        <f t="shared" si="2"/>
        <v>199</v>
      </c>
      <c r="F62" s="46">
        <v>46179.0</v>
      </c>
      <c r="G62" s="46">
        <v>46181.0</v>
      </c>
      <c r="H62" s="66"/>
      <c r="I62" s="38">
        <v>0.0</v>
      </c>
      <c r="J62" s="66"/>
      <c r="K62" s="66"/>
      <c r="L62" s="41" t="s">
        <v>48</v>
      </c>
      <c r="M62" s="49" t="s">
        <v>37</v>
      </c>
    </row>
    <row r="63">
      <c r="A63" s="65"/>
      <c r="B63" s="59" t="s">
        <v>84</v>
      </c>
      <c r="C63" s="33" t="s">
        <v>23</v>
      </c>
      <c r="D63" s="34">
        <v>1556.9</v>
      </c>
      <c r="E63" s="35">
        <f t="shared" si="2"/>
        <v>1556.9</v>
      </c>
      <c r="F63" s="46">
        <v>46179.0</v>
      </c>
      <c r="G63" s="46">
        <v>46181.0</v>
      </c>
      <c r="H63" s="64"/>
      <c r="I63" s="38">
        <v>0.0</v>
      </c>
      <c r="J63" s="64"/>
      <c r="K63" s="64"/>
      <c r="L63" s="41" t="s">
        <v>48</v>
      </c>
      <c r="M63" s="49" t="s">
        <v>37</v>
      </c>
    </row>
    <row r="64" hidden="1">
      <c r="A64" s="65"/>
      <c r="B64" s="50" t="s">
        <v>85</v>
      </c>
      <c r="C64" s="33" t="s">
        <v>23</v>
      </c>
      <c r="D64" s="34">
        <v>0.0</v>
      </c>
      <c r="E64" s="35">
        <f t="shared" si="2"/>
        <v>0</v>
      </c>
      <c r="F64" s="46">
        <v>45803.0</v>
      </c>
      <c r="G64" s="46">
        <v>45810.0</v>
      </c>
      <c r="H64" s="64"/>
      <c r="I64" s="38">
        <v>0.0</v>
      </c>
      <c r="J64" s="64"/>
      <c r="K64" s="64"/>
      <c r="L64" s="41" t="s">
        <v>24</v>
      </c>
      <c r="M64" s="49" t="s">
        <v>37</v>
      </c>
    </row>
    <row r="65" hidden="1">
      <c r="A65" s="65"/>
      <c r="B65" s="51" t="s">
        <v>86</v>
      </c>
      <c r="C65" s="33" t="s">
        <v>23</v>
      </c>
      <c r="D65" s="34">
        <v>549.0</v>
      </c>
      <c r="E65" s="35">
        <f t="shared" si="2"/>
        <v>397</v>
      </c>
      <c r="F65" s="46">
        <v>46179.0</v>
      </c>
      <c r="G65" s="46">
        <v>46181.0</v>
      </c>
      <c r="H65" s="64"/>
      <c r="I65" s="38">
        <v>152.0</v>
      </c>
      <c r="J65" s="64">
        <v>1.0</v>
      </c>
      <c r="K65" s="64" t="s">
        <v>30</v>
      </c>
      <c r="L65" s="41" t="s">
        <v>4</v>
      </c>
      <c r="M65" s="49" t="s">
        <v>27</v>
      </c>
    </row>
    <row r="66" hidden="1">
      <c r="A66" s="67"/>
      <c r="B66" s="45" t="s">
        <v>87</v>
      </c>
      <c r="C66" s="33" t="s">
        <v>23</v>
      </c>
      <c r="D66" s="34">
        <v>435.4</v>
      </c>
      <c r="E66" s="35">
        <f t="shared" si="2"/>
        <v>285.4</v>
      </c>
      <c r="F66" s="46">
        <v>46179.0</v>
      </c>
      <c r="G66" s="46">
        <v>46181.0</v>
      </c>
      <c r="H66" s="64"/>
      <c r="I66" s="38">
        <v>150.0</v>
      </c>
      <c r="J66" s="64">
        <v>1.0</v>
      </c>
      <c r="K66" s="64" t="s">
        <v>30</v>
      </c>
      <c r="L66" s="41" t="s">
        <v>4</v>
      </c>
      <c r="M66" s="49" t="s">
        <v>27</v>
      </c>
    </row>
    <row r="67" hidden="1">
      <c r="A67" s="67"/>
      <c r="B67" s="51" t="s">
        <v>88</v>
      </c>
      <c r="C67" s="33" t="s">
        <v>23</v>
      </c>
      <c r="D67" s="34">
        <v>787.8</v>
      </c>
      <c r="E67" s="35">
        <f t="shared" si="2"/>
        <v>707.8</v>
      </c>
      <c r="F67" s="46">
        <v>46179.0</v>
      </c>
      <c r="G67" s="46">
        <v>46181.0</v>
      </c>
      <c r="H67" s="64"/>
      <c r="I67" s="38">
        <v>80.0</v>
      </c>
      <c r="J67" s="64">
        <v>1.0</v>
      </c>
      <c r="K67" s="64" t="s">
        <v>30</v>
      </c>
      <c r="L67" s="41" t="s">
        <v>4</v>
      </c>
      <c r="M67" s="49" t="s">
        <v>27</v>
      </c>
    </row>
    <row r="68" hidden="1">
      <c r="A68" s="67"/>
      <c r="B68" s="57" t="s">
        <v>89</v>
      </c>
      <c r="C68" s="33" t="s">
        <v>23</v>
      </c>
      <c r="D68" s="34">
        <v>259.8</v>
      </c>
      <c r="E68" s="35">
        <f t="shared" si="2"/>
        <v>259.8</v>
      </c>
      <c r="F68" s="46">
        <v>46179.0</v>
      </c>
      <c r="G68" s="46">
        <v>46181.0</v>
      </c>
      <c r="H68" s="64"/>
      <c r="I68" s="38">
        <v>0.0</v>
      </c>
      <c r="J68" s="64"/>
      <c r="K68" s="64"/>
      <c r="L68" s="41" t="s">
        <v>24</v>
      </c>
      <c r="M68" s="49" t="s">
        <v>37</v>
      </c>
    </row>
    <row r="69" hidden="1">
      <c r="A69" s="65"/>
      <c r="B69" s="70" t="s">
        <v>90</v>
      </c>
      <c r="C69" s="33" t="s">
        <v>23</v>
      </c>
      <c r="D69" s="34">
        <v>745.3</v>
      </c>
      <c r="E69" s="35">
        <f t="shared" si="2"/>
        <v>645.3</v>
      </c>
      <c r="F69" s="46">
        <v>46179.0</v>
      </c>
      <c r="G69" s="46">
        <v>46181.0</v>
      </c>
      <c r="H69" s="64"/>
      <c r="I69" s="38">
        <v>100.0</v>
      </c>
      <c r="J69" s="64">
        <v>1.0</v>
      </c>
      <c r="K69" s="64" t="s">
        <v>30</v>
      </c>
      <c r="L69" s="41" t="s">
        <v>4</v>
      </c>
      <c r="M69" s="49" t="s">
        <v>27</v>
      </c>
    </row>
    <row r="70" hidden="1">
      <c r="A70" s="65"/>
      <c r="B70" s="51" t="s">
        <v>91</v>
      </c>
      <c r="C70" s="33" t="s">
        <v>23</v>
      </c>
      <c r="D70" s="34">
        <v>329.5</v>
      </c>
      <c r="E70" s="35">
        <f t="shared" si="2"/>
        <v>229.5</v>
      </c>
      <c r="F70" s="46">
        <v>46179.0</v>
      </c>
      <c r="G70" s="46">
        <v>46181.0</v>
      </c>
      <c r="H70" s="64"/>
      <c r="I70" s="38">
        <v>100.0</v>
      </c>
      <c r="J70" s="64">
        <v>1.0</v>
      </c>
      <c r="K70" s="64" t="s">
        <v>30</v>
      </c>
      <c r="L70" s="41" t="s">
        <v>4</v>
      </c>
      <c r="M70" s="49" t="s">
        <v>27</v>
      </c>
    </row>
    <row r="71" hidden="1">
      <c r="A71" s="65"/>
      <c r="B71" s="32" t="s">
        <v>92</v>
      </c>
      <c r="C71" s="33" t="s">
        <v>23</v>
      </c>
      <c r="D71" s="34">
        <v>0.0</v>
      </c>
      <c r="E71" s="35">
        <f t="shared" si="2"/>
        <v>0</v>
      </c>
      <c r="F71" s="36"/>
      <c r="G71" s="36"/>
      <c r="H71" s="66"/>
      <c r="I71" s="38">
        <v>0.0</v>
      </c>
      <c r="J71" s="66"/>
      <c r="K71" s="66"/>
      <c r="L71" s="41" t="s">
        <v>24</v>
      </c>
      <c r="M71" s="42"/>
    </row>
    <row r="72">
      <c r="A72" s="67"/>
      <c r="B72" s="63" t="s">
        <v>93</v>
      </c>
      <c r="C72" s="33" t="s">
        <v>23</v>
      </c>
      <c r="D72" s="34">
        <v>667.1</v>
      </c>
      <c r="E72" s="35">
        <f t="shared" si="2"/>
        <v>667.1</v>
      </c>
      <c r="F72" s="46">
        <v>46179.0</v>
      </c>
      <c r="G72" s="46">
        <v>46181.0</v>
      </c>
      <c r="H72" s="64"/>
      <c r="I72" s="38">
        <v>0.0</v>
      </c>
      <c r="J72" s="64"/>
      <c r="K72" s="64"/>
      <c r="L72" s="41" t="s">
        <v>48</v>
      </c>
      <c r="M72" s="49" t="s">
        <v>37</v>
      </c>
    </row>
    <row r="73">
      <c r="A73" s="67"/>
      <c r="B73" s="63" t="s">
        <v>94</v>
      </c>
      <c r="C73" s="33" t="s">
        <v>23</v>
      </c>
      <c r="D73" s="34">
        <v>278.8</v>
      </c>
      <c r="E73" s="35">
        <f t="shared" si="2"/>
        <v>278.8</v>
      </c>
      <c r="F73" s="46">
        <v>46179.0</v>
      </c>
      <c r="G73" s="46">
        <v>46181.0</v>
      </c>
      <c r="H73" s="64"/>
      <c r="I73" s="38">
        <v>0.0</v>
      </c>
      <c r="J73" s="64"/>
      <c r="K73" s="64"/>
      <c r="L73" s="41" t="s">
        <v>48</v>
      </c>
      <c r="M73" s="49" t="s">
        <v>37</v>
      </c>
    </row>
    <row r="74" hidden="1">
      <c r="A74" s="65"/>
      <c r="B74" s="70" t="s">
        <v>95</v>
      </c>
      <c r="C74" s="33" t="s">
        <v>23</v>
      </c>
      <c r="D74" s="34">
        <v>139.6</v>
      </c>
      <c r="E74" s="35">
        <f t="shared" si="2"/>
        <v>100</v>
      </c>
      <c r="F74" s="46">
        <v>46179.0</v>
      </c>
      <c r="G74" s="46">
        <v>46181.0</v>
      </c>
      <c r="H74" s="64"/>
      <c r="I74" s="38">
        <v>39.6</v>
      </c>
      <c r="J74" s="64">
        <v>1.0</v>
      </c>
      <c r="K74" s="64" t="s">
        <v>30</v>
      </c>
      <c r="L74" s="41" t="s">
        <v>4</v>
      </c>
      <c r="M74" s="49" t="s">
        <v>27</v>
      </c>
    </row>
    <row r="75" hidden="1">
      <c r="A75" s="65"/>
      <c r="B75" s="57" t="s">
        <v>96</v>
      </c>
      <c r="C75" s="33" t="s">
        <v>23</v>
      </c>
      <c r="D75" s="34">
        <v>0.0</v>
      </c>
      <c r="E75" s="35">
        <f t="shared" si="2"/>
        <v>0</v>
      </c>
      <c r="F75" s="36"/>
      <c r="G75" s="36"/>
      <c r="H75" s="66"/>
      <c r="I75" s="38">
        <v>0.0</v>
      </c>
      <c r="J75" s="66"/>
      <c r="K75" s="66"/>
      <c r="L75" s="41" t="s">
        <v>24</v>
      </c>
      <c r="M75" s="42"/>
    </row>
    <row r="76" hidden="1">
      <c r="A76" s="65"/>
      <c r="B76" s="63" t="s">
        <v>97</v>
      </c>
      <c r="C76" s="33" t="s">
        <v>23</v>
      </c>
      <c r="D76" s="34">
        <v>50.0</v>
      </c>
      <c r="E76" s="55">
        <v>0.0</v>
      </c>
      <c r="F76" s="46">
        <v>45803.0</v>
      </c>
      <c r="G76" s="46">
        <v>45810.0</v>
      </c>
      <c r="H76" s="64"/>
      <c r="I76" s="38"/>
      <c r="J76" s="64"/>
      <c r="K76" s="64"/>
      <c r="L76" s="41" t="s">
        <v>24</v>
      </c>
      <c r="M76" s="49" t="s">
        <v>37</v>
      </c>
    </row>
    <row r="77" hidden="1">
      <c r="A77" s="67"/>
      <c r="B77" s="50" t="s">
        <v>98</v>
      </c>
      <c r="C77" s="33" t="s">
        <v>23</v>
      </c>
      <c r="D77" s="34">
        <v>0.0</v>
      </c>
      <c r="E77" s="55">
        <v>0.0</v>
      </c>
      <c r="F77" s="46">
        <v>46179.0</v>
      </c>
      <c r="G77" s="46">
        <v>46181.0</v>
      </c>
      <c r="H77" s="64"/>
      <c r="I77" s="38">
        <v>0.0</v>
      </c>
      <c r="J77" s="64"/>
      <c r="K77" s="64"/>
      <c r="L77" s="41" t="s">
        <v>24</v>
      </c>
      <c r="M77" s="49" t="s">
        <v>37</v>
      </c>
    </row>
    <row r="78" hidden="1">
      <c r="A78" s="65"/>
      <c r="B78" s="62" t="s">
        <v>99</v>
      </c>
      <c r="C78" s="33" t="s">
        <v>23</v>
      </c>
      <c r="D78" s="34">
        <v>0.0</v>
      </c>
      <c r="E78" s="35">
        <f t="shared" ref="E78:E79" si="3">IF(D78&lt;&gt;"",D78-(I78*J78),"")</f>
        <v>0</v>
      </c>
      <c r="F78" s="36"/>
      <c r="G78" s="36"/>
      <c r="H78" s="66"/>
      <c r="I78" s="38">
        <v>0.0</v>
      </c>
      <c r="J78" s="66"/>
      <c r="K78" s="66"/>
      <c r="L78" s="41" t="s">
        <v>24</v>
      </c>
      <c r="M78" s="42"/>
    </row>
    <row r="79" hidden="1">
      <c r="A79" s="65"/>
      <c r="B79" s="51" t="s">
        <v>100</v>
      </c>
      <c r="C79" s="33" t="s">
        <v>23</v>
      </c>
      <c r="D79" s="34">
        <v>229.8</v>
      </c>
      <c r="E79" s="35">
        <f t="shared" si="3"/>
        <v>100</v>
      </c>
      <c r="F79" s="46">
        <v>46179.0</v>
      </c>
      <c r="G79" s="46">
        <v>46181.0</v>
      </c>
      <c r="H79" s="64"/>
      <c r="I79" s="38">
        <v>129.8</v>
      </c>
      <c r="J79" s="64">
        <v>1.0</v>
      </c>
      <c r="K79" s="64" t="s">
        <v>30</v>
      </c>
      <c r="L79" s="41" t="s">
        <v>4</v>
      </c>
      <c r="M79" s="49" t="s">
        <v>27</v>
      </c>
    </row>
    <row r="80" hidden="1">
      <c r="A80" s="65"/>
      <c r="B80" s="45" t="s">
        <v>101</v>
      </c>
      <c r="C80" s="33" t="s">
        <v>23</v>
      </c>
      <c r="D80" s="34">
        <v>199.0</v>
      </c>
      <c r="E80" s="55">
        <v>199.0</v>
      </c>
      <c r="F80" s="46">
        <v>46179.0</v>
      </c>
      <c r="G80" s="46">
        <v>46181.0</v>
      </c>
      <c r="H80" s="64"/>
      <c r="I80" s="38">
        <v>99.7</v>
      </c>
      <c r="J80" s="64">
        <v>1.0</v>
      </c>
      <c r="K80" s="64" t="s">
        <v>30</v>
      </c>
      <c r="L80" s="41" t="s">
        <v>4</v>
      </c>
      <c r="M80" s="49" t="s">
        <v>27</v>
      </c>
    </row>
    <row r="81" hidden="1">
      <c r="A81" s="67"/>
      <c r="B81" s="57" t="s">
        <v>102</v>
      </c>
      <c r="C81" s="33" t="s">
        <v>23</v>
      </c>
      <c r="D81" s="34">
        <v>0.0</v>
      </c>
      <c r="E81" s="35">
        <f t="shared" ref="E81:E102" si="4">IF(D81&lt;&gt;"",D81-(I81*J81),"")</f>
        <v>0</v>
      </c>
      <c r="F81" s="36"/>
      <c r="G81" s="36"/>
      <c r="H81" s="66"/>
      <c r="I81" s="38">
        <v>0.0</v>
      </c>
      <c r="J81" s="66"/>
      <c r="K81" s="66"/>
      <c r="L81" s="41" t="s">
        <v>24</v>
      </c>
      <c r="M81" s="42"/>
    </row>
    <row r="82" hidden="1">
      <c r="A82" s="65"/>
      <c r="B82" s="57" t="s">
        <v>103</v>
      </c>
      <c r="C82" s="33" t="s">
        <v>23</v>
      </c>
      <c r="D82" s="34">
        <v>0.0</v>
      </c>
      <c r="E82" s="35">
        <f t="shared" si="4"/>
        <v>0</v>
      </c>
      <c r="F82" s="36"/>
      <c r="G82" s="36"/>
      <c r="H82" s="64"/>
      <c r="I82" s="38">
        <v>0.0</v>
      </c>
      <c r="J82" s="64"/>
      <c r="K82" s="64"/>
      <c r="L82" s="41" t="s">
        <v>24</v>
      </c>
      <c r="M82" s="42"/>
    </row>
    <row r="83" hidden="1">
      <c r="A83" s="65"/>
      <c r="B83" s="45" t="s">
        <v>104</v>
      </c>
      <c r="C83" s="33" t="s">
        <v>23</v>
      </c>
      <c r="D83" s="34">
        <v>848.8</v>
      </c>
      <c r="E83" s="35">
        <f t="shared" si="4"/>
        <v>742.8</v>
      </c>
      <c r="F83" s="46">
        <v>46179.0</v>
      </c>
      <c r="G83" s="46">
        <v>46181.0</v>
      </c>
      <c r="H83" s="64"/>
      <c r="I83" s="38">
        <v>106.0</v>
      </c>
      <c r="J83" s="64">
        <v>1.0</v>
      </c>
      <c r="K83" s="64" t="s">
        <v>30</v>
      </c>
      <c r="L83" s="41" t="s">
        <v>4</v>
      </c>
      <c r="M83" s="49" t="s">
        <v>27</v>
      </c>
    </row>
    <row r="84" hidden="1">
      <c r="A84" s="67"/>
      <c r="B84" s="51" t="s">
        <v>105</v>
      </c>
      <c r="C84" s="33" t="s">
        <v>23</v>
      </c>
      <c r="D84" s="34">
        <v>249.0</v>
      </c>
      <c r="E84" s="35">
        <f t="shared" si="4"/>
        <v>99.1</v>
      </c>
      <c r="F84" s="46">
        <v>46179.0</v>
      </c>
      <c r="G84" s="46">
        <v>46181.0</v>
      </c>
      <c r="H84" s="64"/>
      <c r="I84" s="38">
        <v>149.9</v>
      </c>
      <c r="J84" s="64">
        <v>1.0</v>
      </c>
      <c r="K84" s="64" t="s">
        <v>30</v>
      </c>
      <c r="L84" s="41" t="s">
        <v>4</v>
      </c>
      <c r="M84" s="49" t="s">
        <v>27</v>
      </c>
    </row>
    <row r="85" hidden="1">
      <c r="A85" s="67"/>
      <c r="B85" s="57" t="s">
        <v>106</v>
      </c>
      <c r="C85" s="33" t="s">
        <v>23</v>
      </c>
      <c r="D85" s="34">
        <v>0.0</v>
      </c>
      <c r="E85" s="35">
        <f t="shared" si="4"/>
        <v>0</v>
      </c>
      <c r="F85" s="46">
        <v>45803.0</v>
      </c>
      <c r="G85" s="46">
        <v>45810.0</v>
      </c>
      <c r="H85" s="64"/>
      <c r="I85" s="38">
        <v>0.0</v>
      </c>
      <c r="J85" s="64"/>
      <c r="K85" s="64"/>
      <c r="L85" s="41" t="s">
        <v>24</v>
      </c>
      <c r="M85" s="49" t="s">
        <v>37</v>
      </c>
    </row>
    <row r="86" hidden="1">
      <c r="A86" s="65"/>
      <c r="B86" s="51" t="s">
        <v>107</v>
      </c>
      <c r="C86" s="33" t="s">
        <v>23</v>
      </c>
      <c r="D86" s="34">
        <v>899.8</v>
      </c>
      <c r="E86" s="35">
        <f t="shared" si="4"/>
        <v>799.8</v>
      </c>
      <c r="F86" s="46">
        <v>46179.0</v>
      </c>
      <c r="G86" s="46">
        <v>46181.0</v>
      </c>
      <c r="H86" s="64"/>
      <c r="I86" s="38">
        <v>100.0</v>
      </c>
      <c r="J86" s="64">
        <v>1.0</v>
      </c>
      <c r="K86" s="64" t="s">
        <v>30</v>
      </c>
      <c r="L86" s="41" t="s">
        <v>4</v>
      </c>
      <c r="M86" s="49" t="s">
        <v>27</v>
      </c>
    </row>
    <row r="87">
      <c r="A87" s="67"/>
      <c r="B87" s="63" t="s">
        <v>108</v>
      </c>
      <c r="C87" s="33" t="s">
        <v>23</v>
      </c>
      <c r="D87" s="34">
        <v>938.7</v>
      </c>
      <c r="E87" s="35">
        <f t="shared" si="4"/>
        <v>938.7</v>
      </c>
      <c r="F87" s="46">
        <v>46179.0</v>
      </c>
      <c r="G87" s="46">
        <v>46181.0</v>
      </c>
      <c r="H87" s="66"/>
      <c r="I87" s="38">
        <v>0.0</v>
      </c>
      <c r="J87" s="64"/>
      <c r="K87" s="64"/>
      <c r="L87" s="41" t="s">
        <v>48</v>
      </c>
      <c r="M87" s="49" t="s">
        <v>37</v>
      </c>
    </row>
    <row r="88" hidden="1">
      <c r="A88" s="65"/>
      <c r="B88" s="51" t="s">
        <v>109</v>
      </c>
      <c r="C88" s="33" t="s">
        <v>23</v>
      </c>
      <c r="D88" s="34">
        <v>657.5</v>
      </c>
      <c r="E88" s="35">
        <f t="shared" si="4"/>
        <v>507.5</v>
      </c>
      <c r="F88" s="46">
        <v>46179.0</v>
      </c>
      <c r="G88" s="46">
        <v>46181.0</v>
      </c>
      <c r="H88" s="64"/>
      <c r="I88" s="38">
        <v>150.0</v>
      </c>
      <c r="J88" s="64">
        <v>1.0</v>
      </c>
      <c r="K88" s="64" t="s">
        <v>30</v>
      </c>
      <c r="L88" s="41" t="s">
        <v>4</v>
      </c>
      <c r="M88" s="49" t="s">
        <v>27</v>
      </c>
    </row>
    <row r="89" hidden="1">
      <c r="A89" s="67"/>
      <c r="B89" s="32" t="s">
        <v>110</v>
      </c>
      <c r="C89" s="33" t="s">
        <v>23</v>
      </c>
      <c r="D89" s="34">
        <v>0.0</v>
      </c>
      <c r="E89" s="35">
        <f t="shared" si="4"/>
        <v>0</v>
      </c>
      <c r="F89" s="36"/>
      <c r="G89" s="36"/>
      <c r="H89" s="64"/>
      <c r="I89" s="38">
        <v>0.0</v>
      </c>
      <c r="J89" s="64"/>
      <c r="K89" s="64"/>
      <c r="L89" s="41" t="s">
        <v>24</v>
      </c>
      <c r="M89" s="42"/>
    </row>
    <row r="90" hidden="1">
      <c r="A90" s="65"/>
      <c r="B90" s="45" t="s">
        <v>111</v>
      </c>
      <c r="C90" s="33" t="s">
        <v>23</v>
      </c>
      <c r="D90" s="34">
        <v>408.1</v>
      </c>
      <c r="E90" s="35">
        <f t="shared" si="4"/>
        <v>108.1</v>
      </c>
      <c r="F90" s="46">
        <v>46179.0</v>
      </c>
      <c r="G90" s="46">
        <v>46181.0</v>
      </c>
      <c r="H90" s="64"/>
      <c r="I90" s="38">
        <v>300.0</v>
      </c>
      <c r="J90" s="64">
        <v>1.0</v>
      </c>
      <c r="K90" s="64" t="s">
        <v>30</v>
      </c>
      <c r="L90" s="41" t="s">
        <v>4</v>
      </c>
      <c r="M90" s="49" t="s">
        <v>27</v>
      </c>
    </row>
    <row r="91" hidden="1">
      <c r="A91" s="65"/>
      <c r="B91" s="32" t="s">
        <v>112</v>
      </c>
      <c r="C91" s="33" t="s">
        <v>23</v>
      </c>
      <c r="D91" s="34">
        <v>0.0</v>
      </c>
      <c r="E91" s="35">
        <f t="shared" si="4"/>
        <v>0</v>
      </c>
      <c r="F91" s="46">
        <v>46179.0</v>
      </c>
      <c r="G91" s="46">
        <v>46181.0</v>
      </c>
      <c r="H91" s="64"/>
      <c r="I91" s="38">
        <v>0.0</v>
      </c>
      <c r="J91" s="64"/>
      <c r="K91" s="64"/>
      <c r="L91" s="41" t="s">
        <v>24</v>
      </c>
      <c r="M91" s="49" t="s">
        <v>37</v>
      </c>
    </row>
    <row r="92">
      <c r="A92" s="65"/>
      <c r="B92" s="59" t="s">
        <v>113</v>
      </c>
      <c r="C92" s="33" t="s">
        <v>23</v>
      </c>
      <c r="D92" s="34">
        <v>497.5</v>
      </c>
      <c r="E92" s="35">
        <f t="shared" si="4"/>
        <v>497.5</v>
      </c>
      <c r="F92" s="46">
        <v>46179.0</v>
      </c>
      <c r="G92" s="46">
        <v>46181.0</v>
      </c>
      <c r="H92" s="64"/>
      <c r="I92" s="38">
        <v>0.0</v>
      </c>
      <c r="J92" s="64"/>
      <c r="K92" s="64"/>
      <c r="L92" s="41" t="s">
        <v>48</v>
      </c>
      <c r="M92" s="49" t="s">
        <v>37</v>
      </c>
    </row>
    <row r="93" hidden="1">
      <c r="A93" s="67"/>
      <c r="B93" s="45" t="s">
        <v>114</v>
      </c>
      <c r="C93" s="33" t="s">
        <v>23</v>
      </c>
      <c r="D93" s="34">
        <v>348.5</v>
      </c>
      <c r="E93" s="35">
        <f t="shared" si="4"/>
        <v>248.5</v>
      </c>
      <c r="F93" s="46">
        <v>46179.0</v>
      </c>
      <c r="G93" s="46">
        <v>46181.0</v>
      </c>
      <c r="H93" s="64"/>
      <c r="I93" s="38">
        <v>100.0</v>
      </c>
      <c r="J93" s="64">
        <v>1.0</v>
      </c>
      <c r="K93" s="64" t="s">
        <v>30</v>
      </c>
      <c r="L93" s="41" t="s">
        <v>4</v>
      </c>
      <c r="M93" s="49" t="s">
        <v>27</v>
      </c>
    </row>
    <row r="94" hidden="1">
      <c r="A94" s="65"/>
      <c r="B94" s="51" t="s">
        <v>115</v>
      </c>
      <c r="C94" s="33" t="s">
        <v>23</v>
      </c>
      <c r="D94" s="34">
        <v>184.7</v>
      </c>
      <c r="E94" s="35">
        <f t="shared" si="4"/>
        <v>92.2</v>
      </c>
      <c r="F94" s="46">
        <v>46179.0</v>
      </c>
      <c r="G94" s="46">
        <v>46181.0</v>
      </c>
      <c r="H94" s="64"/>
      <c r="I94" s="38">
        <v>92.5</v>
      </c>
      <c r="J94" s="64">
        <v>1.0</v>
      </c>
      <c r="K94" s="64" t="s">
        <v>30</v>
      </c>
      <c r="L94" s="41" t="s">
        <v>4</v>
      </c>
      <c r="M94" s="49" t="s">
        <v>27</v>
      </c>
    </row>
    <row r="95" hidden="1">
      <c r="A95" s="65"/>
      <c r="B95" s="70" t="s">
        <v>116</v>
      </c>
      <c r="C95" s="33" t="s">
        <v>23</v>
      </c>
      <c r="D95" s="34">
        <v>899.11</v>
      </c>
      <c r="E95" s="35">
        <f t="shared" si="4"/>
        <v>839.11</v>
      </c>
      <c r="F95" s="46">
        <v>46179.0</v>
      </c>
      <c r="G95" s="46">
        <v>46181.0</v>
      </c>
      <c r="H95" s="64"/>
      <c r="I95" s="38">
        <v>60.0</v>
      </c>
      <c r="J95" s="64">
        <v>1.0</v>
      </c>
      <c r="K95" s="64" t="s">
        <v>30</v>
      </c>
      <c r="L95" s="41" t="s">
        <v>4</v>
      </c>
      <c r="M95" s="49" t="s">
        <v>27</v>
      </c>
    </row>
    <row r="96" hidden="1">
      <c r="A96" s="65"/>
      <c r="B96" s="51" t="s">
        <v>117</v>
      </c>
      <c r="C96" s="33" t="s">
        <v>23</v>
      </c>
      <c r="D96" s="34">
        <v>299.0</v>
      </c>
      <c r="E96" s="35">
        <f t="shared" si="4"/>
        <v>200</v>
      </c>
      <c r="F96" s="46">
        <v>46179.0</v>
      </c>
      <c r="G96" s="46">
        <v>46181.0</v>
      </c>
      <c r="H96" s="64"/>
      <c r="I96" s="38">
        <v>99.0</v>
      </c>
      <c r="J96" s="64">
        <v>1.0</v>
      </c>
      <c r="K96" s="64" t="s">
        <v>30</v>
      </c>
      <c r="L96" s="41" t="s">
        <v>4</v>
      </c>
      <c r="M96" s="49" t="s">
        <v>27</v>
      </c>
    </row>
    <row r="97">
      <c r="A97" s="65"/>
      <c r="B97" s="54" t="s">
        <v>118</v>
      </c>
      <c r="C97" s="33" t="s">
        <v>23</v>
      </c>
      <c r="D97" s="34">
        <v>699.5</v>
      </c>
      <c r="E97" s="35">
        <f t="shared" si="4"/>
        <v>699.5</v>
      </c>
      <c r="F97" s="46">
        <v>46179.0</v>
      </c>
      <c r="G97" s="46">
        <v>46181.0</v>
      </c>
      <c r="H97" s="66"/>
      <c r="I97" s="38">
        <v>0.0</v>
      </c>
      <c r="J97" s="66"/>
      <c r="K97" s="66"/>
      <c r="L97" s="41" t="s">
        <v>48</v>
      </c>
      <c r="M97" s="49" t="s">
        <v>37</v>
      </c>
    </row>
    <row r="98" hidden="1">
      <c r="A98" s="65"/>
      <c r="B98" s="62" t="s">
        <v>119</v>
      </c>
      <c r="C98" s="33" t="s">
        <v>23</v>
      </c>
      <c r="D98" s="34">
        <v>249.9</v>
      </c>
      <c r="E98" s="35">
        <f t="shared" si="4"/>
        <v>249.9</v>
      </c>
      <c r="F98" s="46">
        <v>46179.0</v>
      </c>
      <c r="G98" s="46">
        <v>46181.0</v>
      </c>
      <c r="H98" s="64"/>
      <c r="I98" s="38">
        <v>0.0</v>
      </c>
      <c r="J98" s="64"/>
      <c r="K98" s="64"/>
      <c r="L98" s="41" t="s">
        <v>24</v>
      </c>
      <c r="M98" s="49" t="s">
        <v>37</v>
      </c>
    </row>
    <row r="99" hidden="1">
      <c r="A99" s="65"/>
      <c r="B99" s="51" t="s">
        <v>120</v>
      </c>
      <c r="C99" s="33" t="s">
        <v>23</v>
      </c>
      <c r="D99" s="34">
        <v>997.6</v>
      </c>
      <c r="E99" s="35">
        <f t="shared" si="4"/>
        <v>897.6</v>
      </c>
      <c r="F99" s="46">
        <v>46179.0</v>
      </c>
      <c r="G99" s="46">
        <v>46181.0</v>
      </c>
      <c r="H99" s="64"/>
      <c r="I99" s="38">
        <v>100.0</v>
      </c>
      <c r="J99" s="64">
        <v>1.0</v>
      </c>
      <c r="K99" s="64" t="s">
        <v>30</v>
      </c>
      <c r="L99" s="41" t="s">
        <v>4</v>
      </c>
      <c r="M99" s="49" t="s">
        <v>27</v>
      </c>
    </row>
    <row r="100" hidden="1">
      <c r="A100" s="67"/>
      <c r="B100" s="51" t="s">
        <v>121</v>
      </c>
      <c r="C100" s="33" t="s">
        <v>23</v>
      </c>
      <c r="D100" s="34">
        <v>498.9</v>
      </c>
      <c r="E100" s="35">
        <f t="shared" si="4"/>
        <v>373.9</v>
      </c>
      <c r="F100" s="46">
        <v>46179.0</v>
      </c>
      <c r="G100" s="46">
        <v>46181.0</v>
      </c>
      <c r="H100" s="64"/>
      <c r="I100" s="38">
        <v>125.0</v>
      </c>
      <c r="J100" s="64">
        <v>1.0</v>
      </c>
      <c r="K100" s="64" t="s">
        <v>30</v>
      </c>
      <c r="L100" s="41" t="s">
        <v>4</v>
      </c>
      <c r="M100" s="49" t="s">
        <v>27</v>
      </c>
    </row>
    <row r="101" hidden="1">
      <c r="A101" s="65"/>
      <c r="B101" s="45" t="s">
        <v>122</v>
      </c>
      <c r="C101" s="33" t="s">
        <v>23</v>
      </c>
      <c r="D101" s="34">
        <v>928.5</v>
      </c>
      <c r="E101" s="35">
        <f t="shared" si="4"/>
        <v>828.5</v>
      </c>
      <c r="F101" s="46">
        <v>46179.0</v>
      </c>
      <c r="G101" s="46">
        <v>46181.0</v>
      </c>
      <c r="H101" s="64"/>
      <c r="I101" s="38">
        <v>100.0</v>
      </c>
      <c r="J101" s="64">
        <v>1.0</v>
      </c>
      <c r="K101" s="64" t="s">
        <v>30</v>
      </c>
      <c r="L101" s="41" t="s">
        <v>4</v>
      </c>
      <c r="M101" s="49" t="s">
        <v>27</v>
      </c>
    </row>
    <row r="102" hidden="1">
      <c r="A102" s="65"/>
      <c r="B102" s="45" t="s">
        <v>123</v>
      </c>
      <c r="C102" s="33" t="s">
        <v>23</v>
      </c>
      <c r="D102" s="34">
        <v>349.7</v>
      </c>
      <c r="E102" s="35">
        <f t="shared" si="4"/>
        <v>269.7</v>
      </c>
      <c r="F102" s="46">
        <v>46179.0</v>
      </c>
      <c r="G102" s="46">
        <v>46181.0</v>
      </c>
      <c r="H102" s="64"/>
      <c r="I102" s="38">
        <v>80.0</v>
      </c>
      <c r="J102" s="64">
        <v>1.0</v>
      </c>
      <c r="K102" s="64" t="s">
        <v>30</v>
      </c>
      <c r="L102" s="41" t="s">
        <v>4</v>
      </c>
      <c r="M102" s="49" t="s">
        <v>27</v>
      </c>
    </row>
    <row r="103" hidden="1">
      <c r="A103" s="65"/>
      <c r="B103" s="54" t="s">
        <v>124</v>
      </c>
      <c r="C103" s="33" t="s">
        <v>23</v>
      </c>
      <c r="D103" s="34">
        <v>84.8</v>
      </c>
      <c r="E103" s="55">
        <v>0.0</v>
      </c>
      <c r="F103" s="46">
        <v>45803.0</v>
      </c>
      <c r="G103" s="46">
        <v>45810.0</v>
      </c>
      <c r="H103" s="64"/>
      <c r="I103" s="38">
        <v>0.0</v>
      </c>
      <c r="J103" s="64"/>
      <c r="K103" s="64"/>
      <c r="L103" s="41" t="s">
        <v>24</v>
      </c>
      <c r="M103" s="49" t="s">
        <v>37</v>
      </c>
    </row>
    <row r="104" hidden="1">
      <c r="A104" s="1"/>
      <c r="B104" s="63" t="s">
        <v>125</v>
      </c>
      <c r="C104" s="71" t="s">
        <v>23</v>
      </c>
      <c r="D104" s="72">
        <v>99.9</v>
      </c>
      <c r="E104" s="72">
        <v>99.9</v>
      </c>
      <c r="F104" s="73">
        <v>45803.0</v>
      </c>
      <c r="G104" s="73">
        <v>45817.0</v>
      </c>
      <c r="H104" s="3"/>
      <c r="I104" s="38">
        <v>0.0</v>
      </c>
      <c r="J104" s="3"/>
      <c r="K104" s="3"/>
      <c r="L104" s="74" t="s">
        <v>24</v>
      </c>
      <c r="M104" s="75" t="s">
        <v>37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idden="1">
      <c r="A105" s="3"/>
      <c r="B105" s="51" t="s">
        <v>126</v>
      </c>
      <c r="C105" s="71" t="s">
        <v>23</v>
      </c>
      <c r="D105" s="72">
        <v>584.4</v>
      </c>
      <c r="E105" s="76">
        <f t="shared" ref="E105:E138" si="5">IF(D105&lt;&gt;"",D105-(I105*J105),"")</f>
        <v>200</v>
      </c>
      <c r="F105" s="46">
        <v>46179.0</v>
      </c>
      <c r="G105" s="46">
        <v>46181.0</v>
      </c>
      <c r="H105" s="3"/>
      <c r="I105" s="38">
        <v>384.4</v>
      </c>
      <c r="J105" s="64">
        <v>1.0</v>
      </c>
      <c r="K105" s="64" t="s">
        <v>30</v>
      </c>
      <c r="L105" s="77" t="s">
        <v>4</v>
      </c>
      <c r="M105" s="78" t="s">
        <v>27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idden="1">
      <c r="A106" s="65"/>
      <c r="B106" s="45" t="s">
        <v>127</v>
      </c>
      <c r="C106" s="71" t="s">
        <v>23</v>
      </c>
      <c r="D106" s="79">
        <v>399.9</v>
      </c>
      <c r="E106" s="35">
        <f t="shared" si="5"/>
        <v>299.9</v>
      </c>
      <c r="F106" s="46">
        <v>46179.0</v>
      </c>
      <c r="G106" s="46">
        <v>46181.0</v>
      </c>
      <c r="H106" s="66"/>
      <c r="I106" s="38">
        <v>100.0</v>
      </c>
      <c r="J106" s="64">
        <v>1.0</v>
      </c>
      <c r="K106" s="64" t="s">
        <v>30</v>
      </c>
      <c r="L106" s="41" t="s">
        <v>4</v>
      </c>
      <c r="M106" s="49" t="s">
        <v>27</v>
      </c>
    </row>
    <row r="107" hidden="1">
      <c r="A107" s="65"/>
      <c r="B107" s="56" t="s">
        <v>128</v>
      </c>
      <c r="C107" s="71" t="s">
        <v>23</v>
      </c>
      <c r="D107" s="79">
        <v>160.0</v>
      </c>
      <c r="E107" s="35">
        <f t="shared" si="5"/>
        <v>160</v>
      </c>
      <c r="F107" s="46">
        <v>46185.0</v>
      </c>
      <c r="G107" s="46">
        <v>46188.0</v>
      </c>
      <c r="H107" s="80"/>
      <c r="I107" s="38">
        <v>0.0</v>
      </c>
      <c r="J107" s="80"/>
      <c r="K107" s="80"/>
      <c r="L107" s="41" t="s">
        <v>40</v>
      </c>
      <c r="M107" s="49" t="s">
        <v>37</v>
      </c>
    </row>
    <row r="108" hidden="1">
      <c r="A108" s="65"/>
      <c r="B108" s="45" t="s">
        <v>129</v>
      </c>
      <c r="C108" s="71" t="s">
        <v>23</v>
      </c>
      <c r="D108" s="79">
        <v>399.9</v>
      </c>
      <c r="E108" s="35">
        <f t="shared" si="5"/>
        <v>99.9</v>
      </c>
      <c r="F108" s="46">
        <v>46179.0</v>
      </c>
      <c r="G108" s="46">
        <v>46181.0</v>
      </c>
      <c r="H108" s="80"/>
      <c r="I108" s="38">
        <v>300.0</v>
      </c>
      <c r="J108" s="64">
        <v>1.0</v>
      </c>
      <c r="K108" s="64" t="s">
        <v>55</v>
      </c>
      <c r="L108" s="41" t="s">
        <v>4</v>
      </c>
      <c r="M108" s="49" t="s">
        <v>37</v>
      </c>
    </row>
    <row r="109" hidden="1">
      <c r="A109" s="67"/>
      <c r="B109" s="45" t="s">
        <v>130</v>
      </c>
      <c r="C109" s="71" t="s">
        <v>23</v>
      </c>
      <c r="D109" s="79">
        <v>179.8</v>
      </c>
      <c r="E109" s="35">
        <f t="shared" si="5"/>
        <v>119.8</v>
      </c>
      <c r="F109" s="46">
        <v>46179.0</v>
      </c>
      <c r="G109" s="46">
        <v>46181.0</v>
      </c>
      <c r="H109" s="80"/>
      <c r="I109" s="38">
        <v>60.0</v>
      </c>
      <c r="J109" s="64">
        <v>1.0</v>
      </c>
      <c r="K109" s="64" t="s">
        <v>30</v>
      </c>
      <c r="L109" s="41" t="s">
        <v>4</v>
      </c>
      <c r="M109" s="49" t="s">
        <v>27</v>
      </c>
    </row>
    <row r="110" hidden="1">
      <c r="A110" s="67"/>
      <c r="B110" s="56" t="s">
        <v>131</v>
      </c>
      <c r="C110" s="71" t="s">
        <v>23</v>
      </c>
      <c r="D110" s="79">
        <v>139.9</v>
      </c>
      <c r="E110" s="35">
        <f t="shared" si="5"/>
        <v>139.9</v>
      </c>
      <c r="F110" s="46">
        <v>46185.0</v>
      </c>
      <c r="G110" s="46">
        <v>46188.0</v>
      </c>
      <c r="H110" s="80"/>
      <c r="I110" s="38">
        <v>0.0</v>
      </c>
      <c r="J110" s="80"/>
      <c r="K110" s="80"/>
      <c r="L110" s="41" t="s">
        <v>40</v>
      </c>
      <c r="M110" s="49" t="s">
        <v>37</v>
      </c>
    </row>
    <row r="111" hidden="1">
      <c r="A111" s="67"/>
      <c r="B111" s="56" t="s">
        <v>132</v>
      </c>
      <c r="C111" s="71" t="s">
        <v>23</v>
      </c>
      <c r="D111" s="79">
        <v>828.7</v>
      </c>
      <c r="E111" s="35">
        <f t="shared" si="5"/>
        <v>828.7</v>
      </c>
      <c r="F111" s="46">
        <v>46185.0</v>
      </c>
      <c r="G111" s="46">
        <v>46188.0</v>
      </c>
      <c r="H111" s="80"/>
      <c r="I111" s="38">
        <v>0.0</v>
      </c>
      <c r="J111" s="80"/>
      <c r="K111" s="80"/>
      <c r="L111" s="41" t="s">
        <v>40</v>
      </c>
      <c r="M111" s="49" t="s">
        <v>37</v>
      </c>
    </row>
    <row r="112" hidden="1">
      <c r="A112" s="65"/>
      <c r="B112" s="64"/>
      <c r="C112" s="81"/>
      <c r="D112" s="80"/>
      <c r="E112" s="35" t="str">
        <f t="shared" si="5"/>
        <v/>
      </c>
      <c r="F112" s="80"/>
      <c r="G112" s="80"/>
      <c r="H112" s="80"/>
      <c r="I112" s="80"/>
      <c r="J112" s="80"/>
      <c r="K112" s="80"/>
      <c r="L112" s="41"/>
      <c r="M112" s="42"/>
    </row>
    <row r="113" hidden="1">
      <c r="A113" s="65"/>
      <c r="B113" s="66"/>
      <c r="C113" s="82"/>
      <c r="D113" s="80"/>
      <c r="E113" s="35" t="str">
        <f t="shared" si="5"/>
        <v/>
      </c>
      <c r="F113" s="80"/>
      <c r="G113" s="80"/>
      <c r="H113" s="80"/>
      <c r="I113" s="80"/>
      <c r="J113" s="80"/>
      <c r="K113" s="80"/>
      <c r="L113" s="41"/>
      <c r="M113" s="42"/>
    </row>
    <row r="114" hidden="1">
      <c r="A114" s="65"/>
      <c r="B114" s="66"/>
      <c r="C114" s="82"/>
      <c r="D114" s="80"/>
      <c r="E114" s="35" t="str">
        <f t="shared" si="5"/>
        <v/>
      </c>
      <c r="F114" s="80"/>
      <c r="G114" s="80"/>
      <c r="H114" s="80"/>
      <c r="I114" s="80"/>
      <c r="J114" s="80"/>
      <c r="K114" s="80"/>
      <c r="L114" s="41"/>
      <c r="M114" s="42"/>
    </row>
    <row r="115" hidden="1">
      <c r="A115" s="67"/>
      <c r="B115" s="66"/>
      <c r="C115" s="82"/>
      <c r="D115" s="80"/>
      <c r="E115" s="35" t="str">
        <f t="shared" si="5"/>
        <v/>
      </c>
      <c r="F115" s="80"/>
      <c r="G115" s="80"/>
      <c r="H115" s="80"/>
      <c r="I115" s="80"/>
      <c r="J115" s="80"/>
      <c r="K115" s="80"/>
      <c r="L115" s="41"/>
      <c r="M115" s="42"/>
    </row>
    <row r="116" hidden="1">
      <c r="A116" s="65"/>
      <c r="B116" s="64"/>
      <c r="C116" s="81"/>
      <c r="D116" s="80"/>
      <c r="E116" s="35" t="str">
        <f t="shared" si="5"/>
        <v/>
      </c>
      <c r="F116" s="80"/>
      <c r="G116" s="80"/>
      <c r="H116" s="80"/>
      <c r="I116" s="80"/>
      <c r="J116" s="80"/>
      <c r="K116" s="80"/>
      <c r="L116" s="41"/>
      <c r="M116" s="42"/>
    </row>
    <row r="117" hidden="1">
      <c r="A117" s="65"/>
      <c r="B117" s="64"/>
      <c r="C117" s="80"/>
      <c r="D117" s="80"/>
      <c r="E117" s="35" t="str">
        <f t="shared" si="5"/>
        <v/>
      </c>
      <c r="F117" s="80"/>
      <c r="G117" s="80"/>
      <c r="H117" s="80"/>
      <c r="I117" s="80"/>
      <c r="J117" s="80"/>
      <c r="K117" s="80"/>
      <c r="L117" s="41"/>
      <c r="M117" s="42"/>
    </row>
    <row r="118" hidden="1">
      <c r="A118" s="65"/>
      <c r="B118" s="66"/>
      <c r="C118" s="82"/>
      <c r="D118" s="80"/>
      <c r="E118" s="35" t="str">
        <f t="shared" si="5"/>
        <v/>
      </c>
      <c r="F118" s="80"/>
      <c r="G118" s="80"/>
      <c r="H118" s="80"/>
      <c r="I118" s="80"/>
      <c r="J118" s="80"/>
      <c r="K118" s="80"/>
      <c r="L118" s="41"/>
      <c r="M118" s="42"/>
    </row>
    <row r="119" hidden="1">
      <c r="A119" s="67"/>
      <c r="B119" s="66"/>
      <c r="C119" s="82"/>
      <c r="D119" s="80"/>
      <c r="E119" s="35" t="str">
        <f t="shared" si="5"/>
        <v/>
      </c>
      <c r="F119" s="80"/>
      <c r="G119" s="80"/>
      <c r="H119" s="80"/>
      <c r="I119" s="80"/>
      <c r="J119" s="80"/>
      <c r="K119" s="80"/>
      <c r="L119" s="41"/>
      <c r="M119" s="42"/>
    </row>
    <row r="120" hidden="1">
      <c r="A120" s="65"/>
      <c r="B120" s="64"/>
      <c r="C120" s="82"/>
      <c r="D120" s="80"/>
      <c r="E120" s="35" t="str">
        <f t="shared" si="5"/>
        <v/>
      </c>
      <c r="F120" s="80"/>
      <c r="G120" s="80"/>
      <c r="H120" s="80"/>
      <c r="I120" s="80"/>
      <c r="J120" s="80"/>
      <c r="K120" s="80"/>
      <c r="L120" s="41"/>
      <c r="M120" s="42"/>
    </row>
    <row r="121" hidden="1">
      <c r="A121" s="65"/>
      <c r="B121" s="66"/>
      <c r="C121" s="82"/>
      <c r="D121" s="80"/>
      <c r="E121" s="35" t="str">
        <f t="shared" si="5"/>
        <v/>
      </c>
      <c r="F121" s="80"/>
      <c r="G121" s="80"/>
      <c r="H121" s="80"/>
      <c r="I121" s="80"/>
      <c r="J121" s="80"/>
      <c r="K121" s="80"/>
      <c r="L121" s="41"/>
      <c r="M121" s="42"/>
    </row>
    <row r="122" hidden="1">
      <c r="A122" s="65"/>
      <c r="B122" s="66"/>
      <c r="C122" s="82"/>
      <c r="D122" s="80"/>
      <c r="E122" s="35" t="str">
        <f t="shared" si="5"/>
        <v/>
      </c>
      <c r="F122" s="80"/>
      <c r="G122" s="80"/>
      <c r="H122" s="80"/>
      <c r="I122" s="80"/>
      <c r="J122" s="80"/>
      <c r="K122" s="80"/>
      <c r="L122" s="41"/>
      <c r="M122" s="42"/>
    </row>
    <row r="123" hidden="1">
      <c r="A123" s="67"/>
      <c r="B123" s="66"/>
      <c r="C123" s="82"/>
      <c r="D123" s="80"/>
      <c r="E123" s="35" t="str">
        <f t="shared" si="5"/>
        <v/>
      </c>
      <c r="F123" s="80"/>
      <c r="G123" s="80"/>
      <c r="H123" s="80"/>
      <c r="I123" s="80"/>
      <c r="J123" s="80"/>
      <c r="K123" s="80"/>
      <c r="L123" s="41"/>
      <c r="M123" s="42"/>
    </row>
    <row r="124" hidden="1">
      <c r="A124" s="65"/>
      <c r="B124" s="64"/>
      <c r="C124" s="82"/>
      <c r="D124" s="80"/>
      <c r="E124" s="35" t="str">
        <f t="shared" si="5"/>
        <v/>
      </c>
      <c r="F124" s="80"/>
      <c r="G124" s="80"/>
      <c r="H124" s="80"/>
      <c r="I124" s="80"/>
      <c r="J124" s="80"/>
      <c r="K124" s="80"/>
      <c r="L124" s="41"/>
      <c r="M124" s="42"/>
    </row>
    <row r="125" hidden="1">
      <c r="A125" s="65"/>
      <c r="B125" s="66"/>
      <c r="C125" s="82"/>
      <c r="D125" s="80"/>
      <c r="E125" s="35" t="str">
        <f t="shared" si="5"/>
        <v/>
      </c>
      <c r="F125" s="80"/>
      <c r="G125" s="80"/>
      <c r="H125" s="80"/>
      <c r="I125" s="80"/>
      <c r="J125" s="80"/>
      <c r="K125" s="80"/>
      <c r="L125" s="41"/>
      <c r="M125" s="42"/>
    </row>
    <row r="126" hidden="1">
      <c r="A126" s="65"/>
      <c r="B126" s="66"/>
      <c r="C126" s="82"/>
      <c r="D126" s="80"/>
      <c r="E126" s="35" t="str">
        <f t="shared" si="5"/>
        <v/>
      </c>
      <c r="F126" s="80"/>
      <c r="G126" s="80"/>
      <c r="H126" s="80"/>
      <c r="I126" s="80"/>
      <c r="J126" s="80"/>
      <c r="K126" s="80"/>
      <c r="L126" s="41"/>
      <c r="M126" s="42"/>
    </row>
    <row r="127" hidden="1">
      <c r="B127" s="83"/>
      <c r="C127" s="84"/>
      <c r="E127" s="85" t="str">
        <f t="shared" si="5"/>
        <v/>
      </c>
    </row>
    <row r="128" hidden="1">
      <c r="B128" s="83"/>
      <c r="C128" s="84"/>
      <c r="E128" s="85" t="str">
        <f t="shared" si="5"/>
        <v/>
      </c>
    </row>
    <row r="129" hidden="1">
      <c r="B129" s="83"/>
      <c r="C129" s="84"/>
      <c r="E129" s="85" t="str">
        <f t="shared" si="5"/>
        <v/>
      </c>
    </row>
    <row r="130" hidden="1">
      <c r="B130" s="83"/>
      <c r="C130" s="84"/>
      <c r="E130" s="85" t="str">
        <f t="shared" si="5"/>
        <v/>
      </c>
    </row>
    <row r="131" hidden="1">
      <c r="B131" s="45" t="s">
        <v>133</v>
      </c>
      <c r="C131" s="33" t="s">
        <v>23</v>
      </c>
      <c r="D131" s="34">
        <v>498.9</v>
      </c>
      <c r="E131" s="35">
        <f t="shared" si="5"/>
        <v>398.9</v>
      </c>
      <c r="F131" s="46">
        <v>46179.0</v>
      </c>
      <c r="G131" s="46">
        <v>46181.0</v>
      </c>
      <c r="I131" s="38">
        <v>100.0</v>
      </c>
      <c r="J131" s="64">
        <v>1.0</v>
      </c>
      <c r="K131" s="64" t="s">
        <v>30</v>
      </c>
      <c r="L131" s="41" t="s">
        <v>4</v>
      </c>
      <c r="M131" s="49" t="s">
        <v>27</v>
      </c>
    </row>
    <row r="132">
      <c r="B132" s="83"/>
      <c r="C132" s="84"/>
      <c r="E132" s="85" t="str">
        <f t="shared" si="5"/>
        <v/>
      </c>
      <c r="J132" s="83"/>
      <c r="K132" s="83"/>
      <c r="M132" s="83"/>
    </row>
    <row r="133">
      <c r="B133" s="83"/>
      <c r="C133" s="84"/>
      <c r="E133" s="85" t="str">
        <f t="shared" si="5"/>
        <v/>
      </c>
      <c r="J133" s="83"/>
      <c r="K133" s="83"/>
      <c r="M133" s="83"/>
    </row>
    <row r="134">
      <c r="B134" s="83"/>
      <c r="C134" s="84"/>
      <c r="E134" s="85" t="str">
        <f t="shared" si="5"/>
        <v/>
      </c>
      <c r="J134" s="83"/>
      <c r="K134" s="83"/>
      <c r="M134" s="83"/>
    </row>
    <row r="135">
      <c r="B135" s="83"/>
      <c r="C135" s="84"/>
      <c r="E135" s="85" t="str">
        <f t="shared" si="5"/>
        <v/>
      </c>
      <c r="J135" s="83"/>
      <c r="K135" s="83"/>
      <c r="M135" s="83"/>
    </row>
    <row r="136">
      <c r="B136" s="83"/>
      <c r="C136" s="84"/>
      <c r="E136" s="85" t="str">
        <f t="shared" si="5"/>
        <v/>
      </c>
      <c r="J136" s="83"/>
      <c r="K136" s="83"/>
      <c r="M136" s="83"/>
    </row>
    <row r="137">
      <c r="B137" s="83"/>
      <c r="C137" s="84"/>
      <c r="E137" s="85" t="str">
        <f t="shared" si="5"/>
        <v/>
      </c>
      <c r="J137" s="83"/>
      <c r="K137" s="83"/>
      <c r="M137" s="83"/>
    </row>
    <row r="138">
      <c r="B138" s="83"/>
      <c r="C138" s="84"/>
      <c r="E138" s="85" t="str">
        <f t="shared" si="5"/>
        <v/>
      </c>
      <c r="J138" s="83"/>
      <c r="K138" s="83"/>
      <c r="M138" s="83"/>
    </row>
    <row r="139">
      <c r="B139" s="83"/>
      <c r="C139" s="84"/>
      <c r="J139" s="83"/>
      <c r="K139" s="83"/>
      <c r="M139" s="83"/>
    </row>
    <row r="140">
      <c r="B140" s="83"/>
      <c r="C140" s="84"/>
      <c r="J140" s="83"/>
      <c r="K140" s="83"/>
      <c r="M140" s="83"/>
    </row>
    <row r="141">
      <c r="B141" s="83"/>
      <c r="C141" s="84"/>
      <c r="J141" s="83"/>
      <c r="K141" s="83"/>
      <c r="M141" s="83"/>
    </row>
    <row r="142">
      <c r="B142" s="83"/>
      <c r="C142" s="84"/>
      <c r="J142" s="83"/>
      <c r="K142" s="83"/>
      <c r="M142" s="83"/>
    </row>
    <row r="143">
      <c r="B143" s="83"/>
      <c r="C143" s="84"/>
      <c r="J143" s="83"/>
      <c r="K143" s="83"/>
      <c r="M143" s="83"/>
    </row>
    <row r="144">
      <c r="B144" s="83"/>
      <c r="C144" s="84"/>
      <c r="J144" s="83"/>
      <c r="K144" s="83"/>
      <c r="M144" s="83"/>
    </row>
    <row r="145">
      <c r="B145" s="83"/>
      <c r="C145" s="84"/>
      <c r="J145" s="83"/>
      <c r="K145" s="83"/>
      <c r="M145" s="83"/>
    </row>
    <row r="146">
      <c r="B146" s="83"/>
      <c r="C146" s="84"/>
      <c r="J146" s="83"/>
      <c r="K146" s="83"/>
      <c r="M146" s="83"/>
    </row>
    <row r="147">
      <c r="B147" s="83"/>
      <c r="C147" s="84"/>
      <c r="J147" s="83"/>
      <c r="K147" s="83"/>
      <c r="M147" s="83"/>
    </row>
    <row r="148">
      <c r="B148" s="83"/>
      <c r="C148" s="84"/>
      <c r="J148" s="83"/>
      <c r="K148" s="83"/>
      <c r="M148" s="83"/>
    </row>
    <row r="149">
      <c r="B149" s="83"/>
      <c r="C149" s="84"/>
      <c r="J149" s="83"/>
      <c r="K149" s="83"/>
      <c r="M149" s="83"/>
    </row>
    <row r="150">
      <c r="B150" s="83"/>
      <c r="C150" s="84"/>
      <c r="J150" s="83"/>
      <c r="K150" s="83"/>
      <c r="M150" s="83"/>
    </row>
    <row r="151">
      <c r="B151" s="83"/>
      <c r="C151" s="84"/>
      <c r="J151" s="83"/>
      <c r="K151" s="83"/>
      <c r="M151" s="83"/>
    </row>
    <row r="152">
      <c r="B152" s="83"/>
      <c r="C152" s="84"/>
      <c r="J152" s="83"/>
      <c r="K152" s="83"/>
      <c r="M152" s="83"/>
    </row>
    <row r="153">
      <c r="B153" s="83"/>
      <c r="C153" s="84"/>
      <c r="J153" s="83"/>
      <c r="K153" s="83"/>
      <c r="M153" s="83"/>
    </row>
    <row r="154">
      <c r="B154" s="83"/>
      <c r="C154" s="84"/>
      <c r="J154" s="83"/>
      <c r="K154" s="83"/>
      <c r="M154" s="83"/>
    </row>
    <row r="155">
      <c r="B155" s="83"/>
      <c r="C155" s="84"/>
      <c r="J155" s="83"/>
      <c r="K155" s="83"/>
      <c r="M155" s="83"/>
    </row>
    <row r="156">
      <c r="B156" s="83"/>
      <c r="C156" s="84"/>
      <c r="J156" s="83"/>
      <c r="K156" s="83"/>
      <c r="M156" s="83"/>
    </row>
    <row r="157">
      <c r="B157" s="83"/>
      <c r="C157" s="84"/>
      <c r="J157" s="83"/>
      <c r="K157" s="83"/>
      <c r="M157" s="83"/>
    </row>
    <row r="158">
      <c r="B158" s="83"/>
      <c r="C158" s="84"/>
      <c r="J158" s="83"/>
      <c r="K158" s="83"/>
      <c r="M158" s="83"/>
    </row>
    <row r="159">
      <c r="B159" s="83"/>
      <c r="C159" s="84"/>
      <c r="J159" s="83"/>
      <c r="K159" s="83"/>
      <c r="M159" s="83"/>
    </row>
    <row r="160">
      <c r="B160" s="83"/>
      <c r="C160" s="84"/>
      <c r="J160" s="83"/>
      <c r="K160" s="83"/>
      <c r="M160" s="83"/>
    </row>
    <row r="161">
      <c r="B161" s="83"/>
      <c r="C161" s="84"/>
      <c r="J161" s="83"/>
      <c r="K161" s="83"/>
      <c r="M161" s="83"/>
    </row>
    <row r="162">
      <c r="B162" s="83"/>
      <c r="C162" s="84"/>
      <c r="J162" s="83"/>
      <c r="K162" s="83"/>
      <c r="M162" s="83"/>
    </row>
    <row r="163">
      <c r="B163" s="83"/>
      <c r="C163" s="84"/>
      <c r="J163" s="83"/>
      <c r="K163" s="83"/>
      <c r="M163" s="83"/>
    </row>
    <row r="164">
      <c r="B164" s="83"/>
      <c r="C164" s="84"/>
      <c r="J164" s="83"/>
      <c r="K164" s="83"/>
      <c r="M164" s="83"/>
    </row>
    <row r="165">
      <c r="B165" s="83"/>
      <c r="C165" s="84"/>
      <c r="J165" s="83"/>
      <c r="K165" s="83"/>
      <c r="M165" s="83"/>
    </row>
    <row r="166">
      <c r="B166" s="83"/>
      <c r="C166" s="84"/>
      <c r="J166" s="83"/>
      <c r="K166" s="83"/>
      <c r="M166" s="83"/>
    </row>
    <row r="167">
      <c r="B167" s="83"/>
      <c r="C167" s="84"/>
      <c r="J167" s="83"/>
      <c r="K167" s="83"/>
      <c r="M167" s="83"/>
    </row>
    <row r="168">
      <c r="B168" s="83"/>
      <c r="C168" s="84"/>
      <c r="J168" s="83"/>
      <c r="K168" s="83"/>
      <c r="M168" s="83"/>
    </row>
    <row r="169">
      <c r="B169" s="83"/>
      <c r="C169" s="84"/>
      <c r="J169" s="83"/>
      <c r="K169" s="83"/>
      <c r="M169" s="83"/>
    </row>
    <row r="170">
      <c r="B170" s="83"/>
      <c r="C170" s="84"/>
      <c r="J170" s="83"/>
      <c r="K170" s="83"/>
      <c r="M170" s="83"/>
    </row>
    <row r="171">
      <c r="B171" s="83"/>
      <c r="C171" s="84"/>
      <c r="J171" s="83"/>
      <c r="K171" s="83"/>
      <c r="M171" s="83"/>
    </row>
    <row r="172">
      <c r="B172" s="83"/>
      <c r="C172" s="84"/>
      <c r="J172" s="83"/>
      <c r="K172" s="83"/>
      <c r="M172" s="83"/>
    </row>
    <row r="173">
      <c r="B173" s="83"/>
      <c r="C173" s="84"/>
      <c r="J173" s="83"/>
      <c r="K173" s="83"/>
      <c r="M173" s="83"/>
    </row>
    <row r="174">
      <c r="B174" s="83"/>
      <c r="C174" s="84"/>
      <c r="J174" s="83"/>
      <c r="K174" s="83"/>
      <c r="M174" s="83"/>
    </row>
    <row r="175">
      <c r="B175" s="83"/>
      <c r="C175" s="84"/>
      <c r="J175" s="83"/>
      <c r="K175" s="83"/>
      <c r="M175" s="83"/>
    </row>
    <row r="176">
      <c r="B176" s="83"/>
      <c r="C176" s="84"/>
      <c r="J176" s="83"/>
      <c r="K176" s="83"/>
      <c r="M176" s="83"/>
    </row>
    <row r="177">
      <c r="B177" s="83"/>
      <c r="C177" s="84"/>
      <c r="J177" s="83"/>
      <c r="K177" s="83"/>
      <c r="M177" s="83"/>
    </row>
    <row r="178">
      <c r="B178" s="83"/>
      <c r="C178" s="84"/>
      <c r="J178" s="83"/>
      <c r="K178" s="83"/>
      <c r="M178" s="83"/>
    </row>
    <row r="179">
      <c r="B179" s="83"/>
      <c r="C179" s="84"/>
      <c r="J179" s="83"/>
      <c r="K179" s="83"/>
      <c r="M179" s="83"/>
    </row>
    <row r="180">
      <c r="B180" s="83"/>
      <c r="C180" s="84"/>
      <c r="J180" s="83"/>
      <c r="K180" s="83"/>
      <c r="M180" s="83"/>
    </row>
    <row r="181">
      <c r="B181" s="83"/>
      <c r="C181" s="84"/>
      <c r="J181" s="83"/>
      <c r="K181" s="83"/>
      <c r="M181" s="83"/>
    </row>
    <row r="182">
      <c r="B182" s="83"/>
      <c r="C182" s="84"/>
      <c r="J182" s="83"/>
      <c r="K182" s="83"/>
      <c r="M182" s="83"/>
    </row>
    <row r="183">
      <c r="B183" s="83"/>
      <c r="C183" s="84"/>
      <c r="J183" s="83"/>
      <c r="K183" s="83"/>
      <c r="M183" s="83"/>
    </row>
    <row r="184">
      <c r="B184" s="83"/>
      <c r="C184" s="84"/>
      <c r="J184" s="83"/>
      <c r="K184" s="83"/>
      <c r="M184" s="83"/>
    </row>
    <row r="185">
      <c r="B185" s="83"/>
      <c r="C185" s="84"/>
      <c r="J185" s="83"/>
      <c r="K185" s="83"/>
      <c r="M185" s="83"/>
    </row>
    <row r="186">
      <c r="B186" s="83"/>
      <c r="C186" s="84"/>
      <c r="J186" s="83"/>
      <c r="K186" s="83"/>
      <c r="M186" s="83"/>
    </row>
    <row r="187">
      <c r="B187" s="83"/>
      <c r="C187" s="84"/>
      <c r="J187" s="83"/>
      <c r="K187" s="83"/>
      <c r="M187" s="83"/>
    </row>
    <row r="188">
      <c r="B188" s="83"/>
      <c r="C188" s="84"/>
      <c r="J188" s="83"/>
      <c r="K188" s="83"/>
      <c r="M188" s="83"/>
    </row>
    <row r="189">
      <c r="B189" s="83"/>
      <c r="C189" s="84"/>
      <c r="J189" s="83"/>
      <c r="K189" s="83"/>
      <c r="M189" s="83"/>
    </row>
    <row r="190">
      <c r="B190" s="83"/>
      <c r="C190" s="84"/>
      <c r="J190" s="83"/>
      <c r="K190" s="83"/>
      <c r="M190" s="83"/>
    </row>
    <row r="191">
      <c r="B191" s="83"/>
      <c r="C191" s="84"/>
      <c r="J191" s="83"/>
      <c r="K191" s="83"/>
      <c r="M191" s="83"/>
    </row>
    <row r="192">
      <c r="B192" s="83"/>
      <c r="C192" s="84"/>
      <c r="J192" s="83"/>
      <c r="K192" s="83"/>
      <c r="M192" s="83"/>
    </row>
    <row r="193">
      <c r="B193" s="83"/>
      <c r="C193" s="84"/>
      <c r="J193" s="83"/>
      <c r="K193" s="83"/>
      <c r="M193" s="83"/>
    </row>
    <row r="194">
      <c r="B194" s="83"/>
      <c r="C194" s="84"/>
      <c r="J194" s="83"/>
      <c r="K194" s="83"/>
      <c r="M194" s="83"/>
    </row>
    <row r="195">
      <c r="B195" s="83"/>
      <c r="C195" s="84"/>
      <c r="J195" s="83"/>
      <c r="K195" s="83"/>
      <c r="M195" s="83"/>
    </row>
    <row r="196">
      <c r="B196" s="83"/>
      <c r="C196" s="84"/>
      <c r="J196" s="83"/>
      <c r="K196" s="83"/>
      <c r="M196" s="83"/>
    </row>
    <row r="197">
      <c r="B197" s="83"/>
      <c r="C197" s="84"/>
      <c r="J197" s="83"/>
      <c r="K197" s="83"/>
      <c r="M197" s="83"/>
    </row>
    <row r="198">
      <c r="B198" s="83"/>
      <c r="C198" s="84"/>
      <c r="J198" s="83"/>
      <c r="K198" s="83"/>
      <c r="M198" s="83"/>
    </row>
    <row r="199">
      <c r="B199" s="83"/>
      <c r="C199" s="84"/>
      <c r="J199" s="83"/>
      <c r="K199" s="83"/>
      <c r="M199" s="83"/>
    </row>
    <row r="200">
      <c r="B200" s="83"/>
      <c r="C200" s="84"/>
      <c r="J200" s="83"/>
      <c r="K200" s="83"/>
      <c r="M200" s="83"/>
    </row>
    <row r="201">
      <c r="B201" s="83"/>
      <c r="C201" s="84"/>
      <c r="J201" s="83"/>
      <c r="K201" s="83"/>
      <c r="M201" s="83"/>
    </row>
    <row r="202">
      <c r="B202" s="83"/>
      <c r="C202" s="84"/>
      <c r="J202" s="83"/>
      <c r="K202" s="83"/>
      <c r="M202" s="83"/>
    </row>
    <row r="203">
      <c r="B203" s="83"/>
      <c r="C203" s="84"/>
      <c r="J203" s="83"/>
      <c r="K203" s="83"/>
      <c r="M203" s="83"/>
    </row>
    <row r="204">
      <c r="B204" s="83"/>
      <c r="C204" s="84"/>
      <c r="J204" s="83"/>
      <c r="K204" s="83"/>
      <c r="M204" s="83"/>
    </row>
    <row r="205">
      <c r="B205" s="83"/>
      <c r="C205" s="84"/>
      <c r="J205" s="83"/>
      <c r="K205" s="83"/>
      <c r="M205" s="83"/>
    </row>
    <row r="206">
      <c r="B206" s="83"/>
      <c r="C206" s="84"/>
      <c r="J206" s="83"/>
      <c r="K206" s="83"/>
      <c r="M206" s="83"/>
    </row>
    <row r="207">
      <c r="B207" s="83"/>
      <c r="C207" s="84"/>
      <c r="J207" s="83"/>
      <c r="K207" s="83"/>
      <c r="M207" s="83"/>
    </row>
    <row r="208">
      <c r="B208" s="83"/>
      <c r="C208" s="84"/>
      <c r="J208" s="83"/>
      <c r="K208" s="83"/>
      <c r="M208" s="83"/>
    </row>
    <row r="209">
      <c r="B209" s="83"/>
      <c r="C209" s="84"/>
      <c r="J209" s="83"/>
      <c r="K209" s="83"/>
      <c r="M209" s="83"/>
    </row>
    <row r="210">
      <c r="B210" s="83"/>
      <c r="C210" s="84"/>
      <c r="J210" s="83"/>
      <c r="K210" s="83"/>
      <c r="M210" s="83"/>
    </row>
    <row r="211">
      <c r="B211" s="83"/>
      <c r="C211" s="84"/>
      <c r="J211" s="83"/>
      <c r="K211" s="83"/>
      <c r="M211" s="83"/>
    </row>
    <row r="212">
      <c r="B212" s="83"/>
      <c r="C212" s="84"/>
      <c r="J212" s="83"/>
      <c r="K212" s="83"/>
      <c r="M212" s="83"/>
    </row>
    <row r="213">
      <c r="B213" s="83"/>
      <c r="C213" s="84"/>
      <c r="J213" s="83"/>
      <c r="K213" s="83"/>
      <c r="M213" s="83"/>
    </row>
    <row r="214">
      <c r="B214" s="83"/>
      <c r="C214" s="84"/>
      <c r="J214" s="83"/>
      <c r="K214" s="83"/>
      <c r="M214" s="83"/>
    </row>
    <row r="215">
      <c r="B215" s="83"/>
      <c r="C215" s="84"/>
      <c r="J215" s="83"/>
      <c r="K215" s="83"/>
      <c r="M215" s="83"/>
    </row>
    <row r="216">
      <c r="B216" s="83"/>
      <c r="C216" s="84"/>
      <c r="J216" s="83"/>
      <c r="K216" s="83"/>
      <c r="M216" s="83"/>
    </row>
    <row r="217">
      <c r="B217" s="83"/>
      <c r="C217" s="84"/>
      <c r="J217" s="83"/>
      <c r="K217" s="83"/>
      <c r="M217" s="83"/>
    </row>
    <row r="218">
      <c r="B218" s="83"/>
      <c r="C218" s="84"/>
      <c r="J218" s="83"/>
      <c r="K218" s="83"/>
      <c r="M218" s="83"/>
    </row>
    <row r="219">
      <c r="B219" s="83"/>
      <c r="C219" s="84"/>
      <c r="J219" s="83"/>
      <c r="K219" s="83"/>
      <c r="M219" s="83"/>
    </row>
    <row r="220">
      <c r="B220" s="83"/>
      <c r="C220" s="84"/>
      <c r="J220" s="83"/>
      <c r="K220" s="83"/>
      <c r="M220" s="83"/>
    </row>
    <row r="221">
      <c r="B221" s="83"/>
      <c r="C221" s="84"/>
      <c r="J221" s="83"/>
      <c r="K221" s="83"/>
      <c r="M221" s="83"/>
    </row>
    <row r="222">
      <c r="B222" s="83"/>
      <c r="C222" s="84"/>
      <c r="J222" s="83"/>
      <c r="K222" s="83"/>
      <c r="M222" s="83"/>
    </row>
    <row r="223">
      <c r="B223" s="83"/>
      <c r="C223" s="84"/>
      <c r="J223" s="83"/>
      <c r="K223" s="83"/>
      <c r="M223" s="83"/>
    </row>
    <row r="224">
      <c r="B224" s="83"/>
      <c r="C224" s="84"/>
      <c r="J224" s="83"/>
      <c r="K224" s="83"/>
      <c r="M224" s="83"/>
    </row>
    <row r="225">
      <c r="B225" s="83"/>
      <c r="C225" s="84"/>
      <c r="J225" s="83"/>
      <c r="K225" s="83"/>
      <c r="M225" s="83"/>
    </row>
    <row r="226">
      <c r="B226" s="83"/>
      <c r="C226" s="84"/>
      <c r="J226" s="83"/>
      <c r="K226" s="83"/>
      <c r="M226" s="83"/>
    </row>
    <row r="227">
      <c r="B227" s="83"/>
      <c r="C227" s="84"/>
      <c r="J227" s="83"/>
      <c r="K227" s="83"/>
      <c r="M227" s="83"/>
    </row>
    <row r="228">
      <c r="B228" s="83"/>
      <c r="C228" s="84"/>
      <c r="J228" s="83"/>
      <c r="K228" s="83"/>
      <c r="M228" s="83"/>
    </row>
    <row r="229">
      <c r="B229" s="83"/>
      <c r="C229" s="84"/>
      <c r="J229" s="83"/>
      <c r="K229" s="83"/>
      <c r="M229" s="83"/>
    </row>
    <row r="230">
      <c r="B230" s="83"/>
      <c r="C230" s="84"/>
      <c r="J230" s="83"/>
      <c r="K230" s="83"/>
      <c r="M230" s="83"/>
    </row>
    <row r="231">
      <c r="B231" s="83"/>
      <c r="C231" s="84"/>
      <c r="J231" s="83"/>
      <c r="K231" s="83"/>
      <c r="M231" s="83"/>
    </row>
    <row r="232">
      <c r="B232" s="83"/>
      <c r="C232" s="84"/>
      <c r="J232" s="83"/>
      <c r="K232" s="83"/>
      <c r="M232" s="83"/>
    </row>
    <row r="233">
      <c r="B233" s="83"/>
      <c r="C233" s="84"/>
      <c r="J233" s="83"/>
      <c r="K233" s="83"/>
      <c r="M233" s="83"/>
    </row>
    <row r="234">
      <c r="B234" s="83"/>
      <c r="C234" s="84"/>
      <c r="J234" s="83"/>
      <c r="K234" s="83"/>
      <c r="M234" s="83"/>
    </row>
    <row r="235">
      <c r="B235" s="83"/>
      <c r="C235" s="84"/>
      <c r="J235" s="83"/>
      <c r="K235" s="83"/>
      <c r="M235" s="83"/>
    </row>
    <row r="236">
      <c r="B236" s="83"/>
      <c r="C236" s="84"/>
      <c r="J236" s="83"/>
      <c r="K236" s="83"/>
      <c r="M236" s="83"/>
    </row>
    <row r="237">
      <c r="B237" s="83"/>
      <c r="C237" s="84"/>
      <c r="J237" s="83"/>
      <c r="K237" s="83"/>
      <c r="M237" s="83"/>
    </row>
    <row r="238">
      <c r="B238" s="83"/>
      <c r="C238" s="84"/>
      <c r="J238" s="83"/>
      <c r="K238" s="83"/>
      <c r="M238" s="83"/>
    </row>
    <row r="239">
      <c r="B239" s="83"/>
      <c r="C239" s="84"/>
      <c r="J239" s="83"/>
      <c r="K239" s="83"/>
      <c r="M239" s="83"/>
    </row>
    <row r="240">
      <c r="B240" s="83"/>
      <c r="C240" s="84"/>
      <c r="J240" s="83"/>
      <c r="K240" s="83"/>
      <c r="M240" s="83"/>
    </row>
    <row r="241">
      <c r="B241" s="83"/>
      <c r="C241" s="84"/>
      <c r="J241" s="83"/>
      <c r="K241" s="83"/>
      <c r="M241" s="83"/>
    </row>
    <row r="242">
      <c r="B242" s="83"/>
      <c r="C242" s="84"/>
      <c r="J242" s="83"/>
      <c r="K242" s="83"/>
      <c r="M242" s="83"/>
    </row>
    <row r="243">
      <c r="B243" s="83"/>
      <c r="C243" s="84"/>
      <c r="J243" s="83"/>
      <c r="K243" s="83"/>
      <c r="M243" s="83"/>
    </row>
    <row r="244">
      <c r="B244" s="83"/>
      <c r="C244" s="84"/>
      <c r="J244" s="83"/>
      <c r="K244" s="83"/>
      <c r="M244" s="83"/>
    </row>
    <row r="245">
      <c r="B245" s="83"/>
      <c r="C245" s="84"/>
      <c r="J245" s="83"/>
      <c r="K245" s="83"/>
      <c r="M245" s="83"/>
    </row>
    <row r="246">
      <c r="B246" s="83"/>
      <c r="C246" s="84"/>
      <c r="J246" s="83"/>
      <c r="K246" s="83"/>
      <c r="M246" s="83"/>
    </row>
    <row r="247">
      <c r="B247" s="83"/>
      <c r="C247" s="84"/>
      <c r="J247" s="83"/>
      <c r="K247" s="83"/>
      <c r="M247" s="83"/>
    </row>
    <row r="248">
      <c r="B248" s="83"/>
      <c r="C248" s="84"/>
      <c r="J248" s="83"/>
      <c r="K248" s="83"/>
      <c r="M248" s="83"/>
    </row>
    <row r="249">
      <c r="B249" s="83"/>
      <c r="C249" s="84"/>
      <c r="J249" s="83"/>
      <c r="K249" s="83"/>
      <c r="M249" s="83"/>
    </row>
    <row r="250">
      <c r="B250" s="83"/>
      <c r="C250" s="84"/>
      <c r="J250" s="83"/>
      <c r="K250" s="83"/>
      <c r="M250" s="83"/>
    </row>
    <row r="251">
      <c r="B251" s="83"/>
      <c r="C251" s="84"/>
      <c r="J251" s="83"/>
      <c r="K251" s="83"/>
      <c r="M251" s="83"/>
    </row>
    <row r="252">
      <c r="B252" s="83"/>
      <c r="C252" s="84"/>
      <c r="J252" s="83"/>
      <c r="K252" s="83"/>
      <c r="M252" s="83"/>
    </row>
    <row r="253">
      <c r="B253" s="83"/>
      <c r="C253" s="84"/>
      <c r="J253" s="83"/>
      <c r="K253" s="83"/>
      <c r="M253" s="83"/>
    </row>
    <row r="254">
      <c r="B254" s="83"/>
      <c r="C254" s="84"/>
      <c r="J254" s="83"/>
      <c r="K254" s="83"/>
      <c r="M254" s="83"/>
    </row>
    <row r="255">
      <c r="B255" s="83"/>
      <c r="C255" s="84"/>
      <c r="J255" s="83"/>
      <c r="K255" s="83"/>
      <c r="M255" s="83"/>
    </row>
    <row r="256">
      <c r="B256" s="83"/>
      <c r="C256" s="84"/>
      <c r="J256" s="83"/>
      <c r="K256" s="83"/>
      <c r="M256" s="83"/>
    </row>
    <row r="257">
      <c r="B257" s="83"/>
      <c r="C257" s="84"/>
      <c r="J257" s="83"/>
      <c r="K257" s="83"/>
      <c r="M257" s="83"/>
    </row>
    <row r="258">
      <c r="B258" s="83"/>
      <c r="C258" s="84"/>
      <c r="J258" s="83"/>
      <c r="K258" s="83"/>
      <c r="M258" s="83"/>
    </row>
    <row r="259">
      <c r="B259" s="83"/>
      <c r="C259" s="84"/>
      <c r="J259" s="83"/>
      <c r="K259" s="83"/>
      <c r="M259" s="83"/>
    </row>
    <row r="260">
      <c r="B260" s="83"/>
      <c r="C260" s="84"/>
      <c r="J260" s="83"/>
      <c r="K260" s="83"/>
      <c r="M260" s="83"/>
    </row>
    <row r="261">
      <c r="B261" s="83"/>
      <c r="C261" s="84"/>
      <c r="J261" s="83"/>
      <c r="K261" s="83"/>
      <c r="M261" s="83"/>
    </row>
    <row r="262">
      <c r="B262" s="83"/>
      <c r="C262" s="84"/>
      <c r="J262" s="83"/>
      <c r="K262" s="83"/>
      <c r="M262" s="83"/>
    </row>
    <row r="263">
      <c r="B263" s="83"/>
      <c r="C263" s="84"/>
      <c r="J263" s="83"/>
      <c r="K263" s="83"/>
      <c r="M263" s="83"/>
    </row>
    <row r="264">
      <c r="B264" s="83"/>
      <c r="C264" s="84"/>
      <c r="J264" s="83"/>
      <c r="K264" s="83"/>
      <c r="M264" s="83"/>
    </row>
    <row r="265">
      <c r="B265" s="83"/>
      <c r="C265" s="84"/>
      <c r="J265" s="83"/>
      <c r="K265" s="83"/>
      <c r="M265" s="83"/>
    </row>
    <row r="266">
      <c r="B266" s="83"/>
      <c r="C266" s="84"/>
      <c r="J266" s="83"/>
      <c r="K266" s="83"/>
      <c r="M266" s="83"/>
    </row>
    <row r="267">
      <c r="B267" s="83"/>
      <c r="C267" s="84"/>
      <c r="J267" s="83"/>
      <c r="K267" s="83"/>
      <c r="M267" s="83"/>
    </row>
    <row r="268">
      <c r="B268" s="83"/>
      <c r="C268" s="84"/>
      <c r="J268" s="83"/>
      <c r="K268" s="83"/>
      <c r="M268" s="83"/>
    </row>
    <row r="269">
      <c r="B269" s="83"/>
      <c r="C269" s="84"/>
      <c r="J269" s="83"/>
      <c r="K269" s="83"/>
      <c r="M269" s="83"/>
    </row>
    <row r="270">
      <c r="B270" s="83"/>
      <c r="C270" s="84"/>
      <c r="J270" s="83"/>
      <c r="K270" s="83"/>
      <c r="M270" s="83"/>
    </row>
    <row r="271">
      <c r="B271" s="83"/>
      <c r="C271" s="84"/>
      <c r="J271" s="83"/>
      <c r="K271" s="83"/>
      <c r="M271" s="83"/>
    </row>
    <row r="272">
      <c r="B272" s="83"/>
      <c r="C272" s="84"/>
      <c r="J272" s="83"/>
      <c r="K272" s="83"/>
      <c r="M272" s="83"/>
    </row>
    <row r="273">
      <c r="B273" s="83"/>
      <c r="C273" s="84"/>
      <c r="J273" s="83"/>
      <c r="K273" s="83"/>
      <c r="M273" s="83"/>
    </row>
    <row r="274">
      <c r="B274" s="83"/>
      <c r="C274" s="84"/>
      <c r="J274" s="83"/>
      <c r="K274" s="83"/>
      <c r="M274" s="83"/>
    </row>
    <row r="275">
      <c r="B275" s="83"/>
      <c r="C275" s="84"/>
      <c r="J275" s="83"/>
      <c r="K275" s="83"/>
      <c r="M275" s="83"/>
    </row>
    <row r="276">
      <c r="B276" s="83"/>
      <c r="C276" s="84"/>
      <c r="J276" s="83"/>
      <c r="K276" s="83"/>
      <c r="M276" s="83"/>
    </row>
    <row r="277">
      <c r="B277" s="83"/>
      <c r="C277" s="84"/>
      <c r="J277" s="83"/>
      <c r="K277" s="83"/>
      <c r="M277" s="83"/>
    </row>
    <row r="278">
      <c r="B278" s="83"/>
      <c r="C278" s="84"/>
      <c r="J278" s="83"/>
      <c r="K278" s="83"/>
      <c r="M278" s="83"/>
    </row>
    <row r="279">
      <c r="B279" s="83"/>
      <c r="C279" s="84"/>
      <c r="J279" s="83"/>
      <c r="K279" s="83"/>
      <c r="M279" s="83"/>
    </row>
    <row r="280">
      <c r="B280" s="83"/>
      <c r="C280" s="84"/>
      <c r="J280" s="83"/>
      <c r="K280" s="83"/>
      <c r="M280" s="83"/>
    </row>
    <row r="281">
      <c r="B281" s="83"/>
      <c r="C281" s="84"/>
      <c r="J281" s="83"/>
      <c r="K281" s="83"/>
      <c r="M281" s="83"/>
    </row>
    <row r="282">
      <c r="B282" s="83"/>
      <c r="C282" s="84"/>
      <c r="J282" s="83"/>
      <c r="K282" s="83"/>
      <c r="M282" s="83"/>
    </row>
    <row r="283">
      <c r="B283" s="83"/>
      <c r="C283" s="84"/>
      <c r="J283" s="83"/>
      <c r="K283" s="83"/>
      <c r="M283" s="83"/>
    </row>
    <row r="284">
      <c r="B284" s="83"/>
      <c r="C284" s="84"/>
      <c r="J284" s="83"/>
      <c r="K284" s="83"/>
      <c r="M284" s="83"/>
    </row>
    <row r="285">
      <c r="B285" s="83"/>
      <c r="C285" s="84"/>
      <c r="J285" s="83"/>
      <c r="K285" s="83"/>
      <c r="M285" s="83"/>
    </row>
    <row r="286">
      <c r="B286" s="83"/>
      <c r="C286" s="84"/>
      <c r="J286" s="83"/>
      <c r="K286" s="83"/>
      <c r="M286" s="83"/>
    </row>
    <row r="287">
      <c r="B287" s="83"/>
      <c r="C287" s="84"/>
      <c r="J287" s="83"/>
      <c r="K287" s="83"/>
      <c r="M287" s="83"/>
    </row>
    <row r="288">
      <c r="B288" s="83"/>
      <c r="C288" s="84"/>
      <c r="J288" s="83"/>
      <c r="K288" s="83"/>
      <c r="M288" s="83"/>
    </row>
    <row r="289">
      <c r="B289" s="83"/>
      <c r="C289" s="84"/>
      <c r="J289" s="83"/>
      <c r="K289" s="83"/>
      <c r="M289" s="83"/>
    </row>
    <row r="290">
      <c r="B290" s="83"/>
      <c r="C290" s="84"/>
      <c r="J290" s="83"/>
      <c r="K290" s="83"/>
      <c r="M290" s="83"/>
    </row>
    <row r="291">
      <c r="B291" s="83"/>
      <c r="C291" s="84"/>
      <c r="J291" s="83"/>
      <c r="K291" s="83"/>
      <c r="M291" s="83"/>
    </row>
    <row r="292">
      <c r="B292" s="83"/>
      <c r="C292" s="84"/>
      <c r="J292" s="83"/>
      <c r="K292" s="83"/>
      <c r="M292" s="83"/>
    </row>
    <row r="293">
      <c r="B293" s="83"/>
      <c r="C293" s="84"/>
      <c r="J293" s="83"/>
      <c r="K293" s="83"/>
      <c r="M293" s="83"/>
    </row>
    <row r="294">
      <c r="B294" s="83"/>
      <c r="C294" s="84"/>
      <c r="J294" s="83"/>
      <c r="K294" s="83"/>
      <c r="M294" s="83"/>
    </row>
    <row r="295">
      <c r="B295" s="83"/>
      <c r="C295" s="84"/>
      <c r="J295" s="83"/>
      <c r="K295" s="83"/>
      <c r="M295" s="83"/>
    </row>
    <row r="296">
      <c r="B296" s="83"/>
      <c r="C296" s="84"/>
      <c r="J296" s="83"/>
      <c r="K296" s="83"/>
      <c r="M296" s="83"/>
    </row>
    <row r="297">
      <c r="B297" s="83"/>
      <c r="C297" s="84"/>
      <c r="J297" s="83"/>
      <c r="K297" s="83"/>
      <c r="M297" s="83"/>
    </row>
    <row r="298">
      <c r="B298" s="83"/>
      <c r="C298" s="84"/>
      <c r="J298" s="83"/>
      <c r="K298" s="83"/>
      <c r="M298" s="83"/>
    </row>
    <row r="299">
      <c r="B299" s="83"/>
      <c r="C299" s="84"/>
      <c r="J299" s="83"/>
      <c r="K299" s="83"/>
      <c r="M299" s="83"/>
    </row>
    <row r="300">
      <c r="B300" s="83"/>
      <c r="C300" s="84"/>
      <c r="J300" s="83"/>
      <c r="K300" s="83"/>
      <c r="M300" s="83"/>
    </row>
    <row r="301">
      <c r="B301" s="83"/>
      <c r="C301" s="84"/>
      <c r="J301" s="83"/>
      <c r="K301" s="83"/>
      <c r="M301" s="83"/>
    </row>
    <row r="302">
      <c r="B302" s="83"/>
      <c r="C302" s="84"/>
      <c r="J302" s="83"/>
      <c r="K302" s="83"/>
      <c r="M302" s="83"/>
    </row>
    <row r="303">
      <c r="B303" s="83"/>
      <c r="C303" s="84"/>
      <c r="J303" s="83"/>
      <c r="K303" s="83"/>
      <c r="M303" s="83"/>
    </row>
    <row r="304">
      <c r="B304" s="83"/>
      <c r="C304" s="84"/>
      <c r="J304" s="83"/>
      <c r="K304" s="83"/>
      <c r="M304" s="83"/>
    </row>
    <row r="305">
      <c r="B305" s="83"/>
      <c r="C305" s="84"/>
      <c r="J305" s="83"/>
      <c r="K305" s="83"/>
      <c r="M305" s="83"/>
    </row>
    <row r="306">
      <c r="B306" s="83"/>
      <c r="C306" s="84"/>
      <c r="J306" s="83"/>
      <c r="K306" s="83"/>
      <c r="M306" s="83"/>
    </row>
    <row r="307">
      <c r="B307" s="83"/>
      <c r="C307" s="84"/>
      <c r="J307" s="83"/>
      <c r="K307" s="83"/>
      <c r="M307" s="83"/>
    </row>
    <row r="308">
      <c r="B308" s="83"/>
      <c r="C308" s="84"/>
      <c r="J308" s="83"/>
      <c r="K308" s="83"/>
      <c r="M308" s="83"/>
    </row>
    <row r="309">
      <c r="B309" s="83"/>
      <c r="C309" s="84"/>
      <c r="J309" s="83"/>
      <c r="K309" s="83"/>
      <c r="M309" s="83"/>
    </row>
    <row r="310">
      <c r="B310" s="83"/>
      <c r="C310" s="84"/>
      <c r="J310" s="83"/>
      <c r="K310" s="83"/>
      <c r="M310" s="83"/>
    </row>
    <row r="311">
      <c r="B311" s="83"/>
      <c r="C311" s="84"/>
      <c r="J311" s="83"/>
      <c r="K311" s="83"/>
      <c r="M311" s="83"/>
    </row>
    <row r="312">
      <c r="B312" s="83"/>
      <c r="C312" s="84"/>
      <c r="J312" s="83"/>
      <c r="K312" s="83"/>
      <c r="M312" s="83"/>
    </row>
    <row r="313">
      <c r="B313" s="83"/>
      <c r="C313" s="84"/>
      <c r="J313" s="83"/>
      <c r="K313" s="83"/>
      <c r="M313" s="83"/>
    </row>
    <row r="314">
      <c r="B314" s="83"/>
      <c r="C314" s="84"/>
      <c r="J314" s="83"/>
      <c r="K314" s="83"/>
      <c r="M314" s="83"/>
    </row>
    <row r="315">
      <c r="B315" s="83"/>
      <c r="C315" s="84"/>
      <c r="J315" s="83"/>
      <c r="K315" s="83"/>
      <c r="M315" s="83"/>
    </row>
    <row r="316">
      <c r="B316" s="83"/>
      <c r="C316" s="84"/>
      <c r="J316" s="83"/>
      <c r="K316" s="83"/>
      <c r="M316" s="83"/>
    </row>
    <row r="317">
      <c r="B317" s="83"/>
      <c r="C317" s="84"/>
      <c r="J317" s="83"/>
      <c r="K317" s="83"/>
      <c r="M317" s="83"/>
    </row>
    <row r="318">
      <c r="B318" s="83"/>
      <c r="C318" s="84"/>
      <c r="J318" s="83"/>
      <c r="K318" s="83"/>
      <c r="M318" s="83"/>
    </row>
    <row r="319">
      <c r="B319" s="83"/>
      <c r="C319" s="84"/>
      <c r="J319" s="83"/>
      <c r="K319" s="83"/>
      <c r="M319" s="83"/>
    </row>
    <row r="320">
      <c r="B320" s="83"/>
      <c r="C320" s="84"/>
      <c r="J320" s="83"/>
      <c r="K320" s="83"/>
      <c r="M320" s="83"/>
    </row>
    <row r="321">
      <c r="B321" s="83"/>
      <c r="C321" s="84"/>
      <c r="J321" s="83"/>
      <c r="K321" s="83"/>
      <c r="M321" s="83"/>
    </row>
    <row r="322">
      <c r="B322" s="83"/>
      <c r="C322" s="84"/>
      <c r="J322" s="83"/>
      <c r="K322" s="83"/>
      <c r="M322" s="83"/>
    </row>
    <row r="323">
      <c r="B323" s="83"/>
      <c r="C323" s="84"/>
      <c r="J323" s="83"/>
      <c r="K323" s="83"/>
      <c r="M323" s="83"/>
    </row>
    <row r="324">
      <c r="B324" s="83"/>
      <c r="C324" s="84"/>
      <c r="J324" s="83"/>
      <c r="K324" s="83"/>
      <c r="M324" s="83"/>
    </row>
    <row r="325">
      <c r="B325" s="83"/>
      <c r="C325" s="84"/>
      <c r="J325" s="83"/>
      <c r="K325" s="83"/>
      <c r="M325" s="83"/>
    </row>
    <row r="326">
      <c r="B326" s="83"/>
      <c r="C326" s="84"/>
      <c r="J326" s="83"/>
      <c r="K326" s="83"/>
      <c r="M326" s="83"/>
    </row>
    <row r="327">
      <c r="B327" s="83"/>
      <c r="C327" s="84"/>
      <c r="J327" s="83"/>
      <c r="K327" s="83"/>
      <c r="M327" s="83"/>
    </row>
    <row r="328">
      <c r="B328" s="83"/>
      <c r="C328" s="84"/>
      <c r="J328" s="83"/>
      <c r="K328" s="83"/>
      <c r="M328" s="83"/>
    </row>
    <row r="329">
      <c r="B329" s="83"/>
      <c r="C329" s="84"/>
      <c r="J329" s="83"/>
      <c r="K329" s="83"/>
      <c r="M329" s="83"/>
    </row>
    <row r="330">
      <c r="B330" s="83"/>
      <c r="C330" s="84"/>
      <c r="J330" s="83"/>
      <c r="K330" s="83"/>
      <c r="M330" s="83"/>
    </row>
    <row r="331">
      <c r="B331" s="83"/>
      <c r="C331" s="84"/>
      <c r="J331" s="83"/>
      <c r="K331" s="83"/>
      <c r="M331" s="83"/>
    </row>
    <row r="332">
      <c r="B332" s="83"/>
      <c r="C332" s="84"/>
      <c r="J332" s="83"/>
      <c r="K332" s="83"/>
      <c r="M332" s="83"/>
    </row>
    <row r="333">
      <c r="B333" s="83"/>
      <c r="C333" s="84"/>
      <c r="J333" s="83"/>
      <c r="K333" s="83"/>
      <c r="M333" s="83"/>
    </row>
    <row r="334">
      <c r="B334" s="83"/>
      <c r="C334" s="84"/>
      <c r="J334" s="83"/>
      <c r="K334" s="83"/>
      <c r="M334" s="83"/>
    </row>
    <row r="335">
      <c r="B335" s="83"/>
      <c r="C335" s="84"/>
      <c r="J335" s="83"/>
      <c r="K335" s="83"/>
      <c r="M335" s="83"/>
    </row>
    <row r="336">
      <c r="B336" s="83"/>
      <c r="C336" s="84"/>
      <c r="J336" s="83"/>
      <c r="K336" s="83"/>
      <c r="M336" s="83"/>
    </row>
    <row r="337">
      <c r="B337" s="83"/>
      <c r="C337" s="84"/>
      <c r="J337" s="83"/>
      <c r="K337" s="83"/>
      <c r="M337" s="83"/>
    </row>
    <row r="338">
      <c r="B338" s="83"/>
      <c r="C338" s="84"/>
      <c r="J338" s="83"/>
      <c r="K338" s="83"/>
      <c r="M338" s="83"/>
    </row>
    <row r="339">
      <c r="B339" s="83"/>
      <c r="C339" s="84"/>
      <c r="J339" s="83"/>
      <c r="K339" s="83"/>
      <c r="M339" s="83"/>
    </row>
    <row r="340">
      <c r="B340" s="83"/>
      <c r="C340" s="84"/>
      <c r="J340" s="83"/>
      <c r="K340" s="83"/>
      <c r="M340" s="83"/>
    </row>
    <row r="341">
      <c r="B341" s="83"/>
      <c r="C341" s="84"/>
      <c r="J341" s="83"/>
      <c r="K341" s="83"/>
      <c r="M341" s="83"/>
    </row>
    <row r="342">
      <c r="B342" s="83"/>
      <c r="C342" s="84"/>
      <c r="J342" s="83"/>
      <c r="K342" s="83"/>
      <c r="M342" s="83"/>
    </row>
    <row r="343">
      <c r="B343" s="83"/>
      <c r="C343" s="84"/>
      <c r="J343" s="83"/>
      <c r="K343" s="83"/>
      <c r="M343" s="83"/>
    </row>
    <row r="344">
      <c r="B344" s="83"/>
      <c r="C344" s="84"/>
      <c r="J344" s="83"/>
      <c r="K344" s="83"/>
      <c r="M344" s="83"/>
    </row>
    <row r="345">
      <c r="B345" s="83"/>
      <c r="C345" s="84"/>
      <c r="J345" s="83"/>
      <c r="K345" s="83"/>
      <c r="M345" s="83"/>
    </row>
    <row r="346">
      <c r="B346" s="83"/>
      <c r="C346" s="84"/>
      <c r="J346" s="83"/>
      <c r="K346" s="83"/>
      <c r="M346" s="83"/>
    </row>
    <row r="347">
      <c r="B347" s="83"/>
      <c r="C347" s="84"/>
      <c r="J347" s="83"/>
      <c r="K347" s="83"/>
      <c r="M347" s="83"/>
    </row>
    <row r="348">
      <c r="B348" s="83"/>
      <c r="C348" s="84"/>
      <c r="J348" s="83"/>
      <c r="K348" s="83"/>
      <c r="M348" s="83"/>
    </row>
    <row r="349">
      <c r="B349" s="83"/>
      <c r="C349" s="84"/>
      <c r="J349" s="83"/>
      <c r="K349" s="83"/>
      <c r="M349" s="83"/>
    </row>
    <row r="350">
      <c r="B350" s="83"/>
      <c r="C350" s="84"/>
      <c r="J350" s="83"/>
      <c r="K350" s="83"/>
      <c r="M350" s="83"/>
    </row>
    <row r="351">
      <c r="B351" s="83"/>
      <c r="C351" s="84"/>
      <c r="J351" s="83"/>
      <c r="K351" s="83"/>
      <c r="M351" s="83"/>
    </row>
    <row r="352">
      <c r="B352" s="83"/>
      <c r="C352" s="84"/>
      <c r="J352" s="83"/>
      <c r="K352" s="83"/>
      <c r="M352" s="83"/>
    </row>
    <row r="353">
      <c r="B353" s="83"/>
      <c r="C353" s="84"/>
      <c r="J353" s="83"/>
      <c r="K353" s="83"/>
      <c r="M353" s="83"/>
    </row>
    <row r="354">
      <c r="B354" s="83"/>
      <c r="C354" s="84"/>
      <c r="J354" s="83"/>
      <c r="K354" s="83"/>
      <c r="M354" s="83"/>
    </row>
    <row r="355">
      <c r="B355" s="83"/>
      <c r="C355" s="84"/>
      <c r="J355" s="83"/>
      <c r="K355" s="83"/>
      <c r="M355" s="83"/>
    </row>
    <row r="356">
      <c r="B356" s="83"/>
      <c r="C356" s="84"/>
      <c r="J356" s="83"/>
      <c r="K356" s="83"/>
      <c r="M356" s="83"/>
    </row>
    <row r="357">
      <c r="B357" s="83"/>
      <c r="C357" s="84"/>
      <c r="J357" s="83"/>
      <c r="K357" s="83"/>
      <c r="M357" s="83"/>
    </row>
    <row r="358">
      <c r="B358" s="83"/>
      <c r="C358" s="84"/>
      <c r="J358" s="83"/>
      <c r="K358" s="83"/>
      <c r="M358" s="83"/>
    </row>
    <row r="359">
      <c r="B359" s="83"/>
      <c r="C359" s="84"/>
      <c r="J359" s="83"/>
      <c r="K359" s="83"/>
      <c r="M359" s="83"/>
    </row>
    <row r="360">
      <c r="B360" s="83"/>
      <c r="C360" s="84"/>
      <c r="J360" s="83"/>
      <c r="K360" s="83"/>
      <c r="M360" s="83"/>
    </row>
    <row r="361">
      <c r="B361" s="83"/>
      <c r="C361" s="84"/>
      <c r="J361" s="83"/>
      <c r="K361" s="83"/>
      <c r="M361" s="83"/>
    </row>
    <row r="362">
      <c r="B362" s="83"/>
      <c r="C362" s="84"/>
      <c r="J362" s="83"/>
      <c r="K362" s="83"/>
      <c r="M362" s="83"/>
    </row>
    <row r="363">
      <c r="B363" s="83"/>
      <c r="C363" s="84"/>
      <c r="J363" s="83"/>
      <c r="K363" s="83"/>
      <c r="M363" s="83"/>
    </row>
    <row r="364">
      <c r="B364" s="83"/>
      <c r="C364" s="84"/>
      <c r="J364" s="83"/>
      <c r="K364" s="83"/>
      <c r="M364" s="83"/>
    </row>
    <row r="365">
      <c r="B365" s="83"/>
      <c r="C365" s="84"/>
      <c r="J365" s="83"/>
      <c r="K365" s="83"/>
      <c r="M365" s="83"/>
    </row>
    <row r="366">
      <c r="B366" s="83"/>
      <c r="C366" s="84"/>
      <c r="J366" s="83"/>
      <c r="K366" s="83"/>
      <c r="M366" s="83"/>
    </row>
    <row r="367">
      <c r="B367" s="83"/>
      <c r="C367" s="84"/>
      <c r="J367" s="83"/>
      <c r="K367" s="83"/>
      <c r="M367" s="83"/>
    </row>
    <row r="368">
      <c r="B368" s="83"/>
      <c r="C368" s="84"/>
      <c r="J368" s="83"/>
      <c r="K368" s="83"/>
      <c r="M368" s="83"/>
    </row>
    <row r="369">
      <c r="B369" s="83"/>
      <c r="C369" s="84"/>
      <c r="J369" s="83"/>
      <c r="K369" s="83"/>
      <c r="M369" s="83"/>
    </row>
    <row r="370">
      <c r="B370" s="83"/>
      <c r="C370" s="84"/>
      <c r="J370" s="83"/>
      <c r="K370" s="83"/>
      <c r="M370" s="83"/>
    </row>
    <row r="371">
      <c r="B371" s="83"/>
      <c r="C371" s="84"/>
      <c r="J371" s="83"/>
      <c r="K371" s="83"/>
      <c r="M371" s="83"/>
    </row>
    <row r="372">
      <c r="B372" s="83"/>
      <c r="C372" s="84"/>
      <c r="J372" s="83"/>
      <c r="K372" s="83"/>
      <c r="M372" s="83"/>
    </row>
    <row r="373">
      <c r="B373" s="83"/>
      <c r="C373" s="84"/>
      <c r="J373" s="83"/>
      <c r="K373" s="83"/>
      <c r="M373" s="83"/>
    </row>
    <row r="374">
      <c r="B374" s="83"/>
      <c r="C374" s="84"/>
      <c r="J374" s="83"/>
      <c r="K374" s="83"/>
      <c r="M374" s="83"/>
    </row>
    <row r="375">
      <c r="B375" s="83"/>
      <c r="C375" s="84"/>
      <c r="J375" s="83"/>
      <c r="K375" s="83"/>
      <c r="M375" s="83"/>
    </row>
    <row r="376">
      <c r="B376" s="83"/>
      <c r="C376" s="84"/>
      <c r="J376" s="83"/>
      <c r="K376" s="83"/>
      <c r="M376" s="83"/>
    </row>
    <row r="377">
      <c r="B377" s="83"/>
      <c r="C377" s="84"/>
      <c r="J377" s="83"/>
      <c r="K377" s="83"/>
      <c r="M377" s="83"/>
    </row>
    <row r="378">
      <c r="B378" s="83"/>
      <c r="C378" s="84"/>
      <c r="J378" s="83"/>
      <c r="K378" s="83"/>
      <c r="M378" s="83"/>
    </row>
    <row r="379">
      <c r="B379" s="83"/>
      <c r="C379" s="84"/>
      <c r="J379" s="83"/>
      <c r="K379" s="83"/>
      <c r="M379" s="83"/>
    </row>
    <row r="380">
      <c r="B380" s="83"/>
      <c r="C380" s="84"/>
      <c r="J380" s="83"/>
      <c r="K380" s="83"/>
      <c r="M380" s="83"/>
    </row>
    <row r="381">
      <c r="B381" s="83"/>
      <c r="C381" s="84"/>
      <c r="J381" s="83"/>
      <c r="K381" s="83"/>
      <c r="M381" s="83"/>
    </row>
    <row r="382">
      <c r="B382" s="83"/>
      <c r="C382" s="84"/>
      <c r="J382" s="83"/>
      <c r="K382" s="83"/>
      <c r="M382" s="83"/>
    </row>
    <row r="383">
      <c r="B383" s="83"/>
      <c r="C383" s="84"/>
      <c r="J383" s="83"/>
      <c r="K383" s="83"/>
      <c r="M383" s="83"/>
    </row>
    <row r="384">
      <c r="B384" s="83"/>
      <c r="C384" s="84"/>
      <c r="J384" s="83"/>
      <c r="K384" s="83"/>
      <c r="M384" s="83"/>
    </row>
    <row r="385">
      <c r="B385" s="83"/>
      <c r="C385" s="84"/>
      <c r="J385" s="83"/>
      <c r="K385" s="83"/>
      <c r="M385" s="83"/>
    </row>
    <row r="386">
      <c r="B386" s="83"/>
      <c r="C386" s="84"/>
      <c r="J386" s="83"/>
      <c r="K386" s="83"/>
      <c r="M386" s="83"/>
    </row>
    <row r="387">
      <c r="B387" s="83"/>
      <c r="C387" s="84"/>
      <c r="J387" s="83"/>
      <c r="K387" s="83"/>
      <c r="M387" s="83"/>
    </row>
    <row r="388">
      <c r="B388" s="83"/>
      <c r="C388" s="84"/>
      <c r="J388" s="83"/>
      <c r="K388" s="83"/>
      <c r="M388" s="83"/>
    </row>
    <row r="389">
      <c r="B389" s="83"/>
      <c r="C389" s="84"/>
      <c r="J389" s="83"/>
      <c r="K389" s="83"/>
      <c r="M389" s="83"/>
    </row>
    <row r="390">
      <c r="B390" s="83"/>
      <c r="C390" s="84"/>
      <c r="J390" s="83"/>
      <c r="K390" s="83"/>
      <c r="M390" s="83"/>
    </row>
    <row r="391">
      <c r="B391" s="83"/>
      <c r="C391" s="84"/>
      <c r="J391" s="83"/>
      <c r="K391" s="83"/>
      <c r="M391" s="83"/>
    </row>
    <row r="392">
      <c r="B392" s="83"/>
      <c r="C392" s="84"/>
      <c r="J392" s="83"/>
      <c r="K392" s="83"/>
      <c r="M392" s="83"/>
    </row>
    <row r="393">
      <c r="B393" s="83"/>
      <c r="C393" s="84"/>
      <c r="J393" s="83"/>
      <c r="K393" s="83"/>
      <c r="M393" s="83"/>
    </row>
    <row r="394">
      <c r="B394" s="83"/>
      <c r="C394" s="84"/>
      <c r="J394" s="83"/>
      <c r="K394" s="83"/>
      <c r="M394" s="83"/>
    </row>
    <row r="395">
      <c r="B395" s="83"/>
      <c r="C395" s="84"/>
      <c r="J395" s="83"/>
      <c r="K395" s="83"/>
      <c r="M395" s="83"/>
    </row>
    <row r="396">
      <c r="B396" s="83"/>
      <c r="C396" s="84"/>
      <c r="J396" s="83"/>
      <c r="K396" s="83"/>
      <c r="M396" s="83"/>
    </row>
    <row r="397">
      <c r="B397" s="83"/>
      <c r="C397" s="84"/>
      <c r="J397" s="83"/>
      <c r="K397" s="83"/>
      <c r="M397" s="83"/>
    </row>
    <row r="398">
      <c r="B398" s="83"/>
      <c r="C398" s="84"/>
      <c r="J398" s="83"/>
      <c r="K398" s="83"/>
      <c r="M398" s="83"/>
    </row>
    <row r="399">
      <c r="B399" s="83"/>
      <c r="C399" s="84"/>
      <c r="J399" s="83"/>
      <c r="K399" s="83"/>
      <c r="M399" s="83"/>
    </row>
    <row r="400">
      <c r="B400" s="83"/>
      <c r="C400" s="84"/>
      <c r="J400" s="83"/>
      <c r="K400" s="83"/>
      <c r="M400" s="83"/>
    </row>
    <row r="401">
      <c r="B401" s="83"/>
      <c r="C401" s="84"/>
      <c r="J401" s="83"/>
      <c r="K401" s="83"/>
      <c r="M401" s="83"/>
    </row>
    <row r="402">
      <c r="B402" s="83"/>
      <c r="C402" s="84"/>
      <c r="J402" s="83"/>
      <c r="K402" s="83"/>
      <c r="M402" s="83"/>
    </row>
    <row r="403">
      <c r="B403" s="83"/>
      <c r="C403" s="84"/>
      <c r="J403" s="83"/>
      <c r="K403" s="83"/>
      <c r="M403" s="83"/>
    </row>
    <row r="404">
      <c r="B404" s="83"/>
      <c r="C404" s="84"/>
      <c r="J404" s="83"/>
      <c r="K404" s="83"/>
      <c r="M404" s="83"/>
    </row>
    <row r="405">
      <c r="B405" s="83"/>
      <c r="C405" s="84"/>
      <c r="J405" s="83"/>
      <c r="K405" s="83"/>
      <c r="M405" s="83"/>
    </row>
    <row r="406">
      <c r="B406" s="83"/>
      <c r="C406" s="84"/>
      <c r="J406" s="83"/>
      <c r="K406" s="83"/>
      <c r="M406" s="83"/>
    </row>
    <row r="407">
      <c r="B407" s="83"/>
      <c r="C407" s="84"/>
      <c r="J407" s="83"/>
      <c r="K407" s="83"/>
      <c r="M407" s="83"/>
    </row>
    <row r="408">
      <c r="B408" s="83"/>
      <c r="C408" s="84"/>
      <c r="J408" s="83"/>
      <c r="K408" s="83"/>
      <c r="M408" s="83"/>
    </row>
    <row r="409">
      <c r="B409" s="83"/>
      <c r="C409" s="84"/>
      <c r="J409" s="83"/>
      <c r="K409" s="83"/>
      <c r="M409" s="83"/>
    </row>
    <row r="410">
      <c r="B410" s="83"/>
      <c r="C410" s="84"/>
      <c r="J410" s="83"/>
      <c r="K410" s="83"/>
      <c r="M410" s="83"/>
    </row>
    <row r="411">
      <c r="B411" s="83"/>
      <c r="C411" s="84"/>
      <c r="J411" s="83"/>
      <c r="K411" s="83"/>
      <c r="M411" s="83"/>
    </row>
    <row r="412">
      <c r="B412" s="83"/>
      <c r="C412" s="84"/>
      <c r="J412" s="83"/>
      <c r="K412" s="83"/>
      <c r="M412" s="83"/>
    </row>
    <row r="413">
      <c r="B413" s="83"/>
      <c r="C413" s="84"/>
      <c r="J413" s="83"/>
      <c r="K413" s="83"/>
      <c r="M413" s="83"/>
    </row>
    <row r="414">
      <c r="B414" s="83"/>
      <c r="C414" s="84"/>
      <c r="J414" s="83"/>
      <c r="K414" s="83"/>
      <c r="M414" s="83"/>
    </row>
    <row r="415">
      <c r="B415" s="83"/>
      <c r="C415" s="84"/>
      <c r="J415" s="83"/>
      <c r="K415" s="83"/>
      <c r="M415" s="83"/>
    </row>
    <row r="416">
      <c r="B416" s="83"/>
      <c r="C416" s="84"/>
      <c r="J416" s="83"/>
      <c r="K416" s="83"/>
      <c r="M416" s="83"/>
    </row>
    <row r="417">
      <c r="B417" s="83"/>
      <c r="C417" s="84"/>
      <c r="J417" s="83"/>
      <c r="K417" s="83"/>
      <c r="M417" s="83"/>
    </row>
    <row r="418">
      <c r="B418" s="83"/>
      <c r="C418" s="84"/>
      <c r="J418" s="83"/>
      <c r="K418" s="83"/>
      <c r="M418" s="83"/>
    </row>
    <row r="419">
      <c r="B419" s="83"/>
      <c r="C419" s="84"/>
      <c r="J419" s="83"/>
      <c r="K419" s="83"/>
      <c r="M419" s="83"/>
    </row>
    <row r="420">
      <c r="B420" s="83"/>
      <c r="C420" s="84"/>
      <c r="J420" s="83"/>
      <c r="K420" s="83"/>
      <c r="M420" s="83"/>
    </row>
    <row r="421">
      <c r="B421" s="83"/>
      <c r="C421" s="84"/>
      <c r="J421" s="83"/>
      <c r="K421" s="83"/>
      <c r="M421" s="83"/>
    </row>
    <row r="422">
      <c r="B422" s="83"/>
      <c r="C422" s="84"/>
      <c r="J422" s="83"/>
      <c r="K422" s="83"/>
      <c r="M422" s="83"/>
    </row>
    <row r="423">
      <c r="B423" s="83"/>
      <c r="C423" s="84"/>
      <c r="J423" s="83"/>
      <c r="K423" s="83"/>
      <c r="M423" s="83"/>
    </row>
    <row r="424">
      <c r="B424" s="83"/>
      <c r="C424" s="84"/>
      <c r="J424" s="83"/>
      <c r="K424" s="83"/>
      <c r="M424" s="83"/>
    </row>
    <row r="425">
      <c r="B425" s="83"/>
      <c r="C425" s="84"/>
      <c r="J425" s="83"/>
      <c r="K425" s="83"/>
      <c r="M425" s="83"/>
    </row>
    <row r="426">
      <c r="B426" s="83"/>
      <c r="C426" s="84"/>
      <c r="J426" s="83"/>
      <c r="K426" s="83"/>
      <c r="M426" s="83"/>
    </row>
    <row r="427">
      <c r="B427" s="83"/>
      <c r="C427" s="84"/>
      <c r="J427" s="83"/>
      <c r="K427" s="83"/>
      <c r="M427" s="83"/>
    </row>
    <row r="428">
      <c r="B428" s="83"/>
      <c r="C428" s="84"/>
      <c r="J428" s="83"/>
      <c r="K428" s="83"/>
      <c r="M428" s="83"/>
    </row>
    <row r="429">
      <c r="B429" s="83"/>
      <c r="C429" s="84"/>
      <c r="J429" s="83"/>
      <c r="K429" s="83"/>
      <c r="M429" s="83"/>
    </row>
    <row r="430">
      <c r="B430" s="83"/>
      <c r="C430" s="84"/>
      <c r="J430" s="83"/>
      <c r="K430" s="83"/>
      <c r="M430" s="83"/>
    </row>
    <row r="431">
      <c r="B431" s="83"/>
      <c r="C431" s="84"/>
      <c r="J431" s="83"/>
      <c r="K431" s="83"/>
      <c r="M431" s="83"/>
    </row>
    <row r="432">
      <c r="B432" s="83"/>
      <c r="C432" s="84"/>
      <c r="J432" s="83"/>
      <c r="K432" s="83"/>
      <c r="M432" s="83"/>
    </row>
    <row r="433">
      <c r="B433" s="83"/>
      <c r="C433" s="84"/>
      <c r="J433" s="83"/>
      <c r="K433" s="83"/>
      <c r="M433" s="83"/>
    </row>
    <row r="434">
      <c r="B434" s="83"/>
      <c r="C434" s="84"/>
      <c r="J434" s="83"/>
      <c r="K434" s="83"/>
      <c r="M434" s="83"/>
    </row>
    <row r="435">
      <c r="B435" s="83"/>
      <c r="C435" s="84"/>
      <c r="J435" s="83"/>
      <c r="K435" s="83"/>
      <c r="M435" s="83"/>
    </row>
    <row r="436">
      <c r="B436" s="83"/>
      <c r="C436" s="84"/>
      <c r="J436" s="83"/>
      <c r="K436" s="83"/>
      <c r="M436" s="83"/>
    </row>
    <row r="437">
      <c r="B437" s="83"/>
      <c r="C437" s="84"/>
      <c r="J437" s="83"/>
      <c r="K437" s="83"/>
      <c r="M437" s="83"/>
    </row>
    <row r="438">
      <c r="B438" s="83"/>
      <c r="C438" s="84"/>
      <c r="J438" s="83"/>
      <c r="K438" s="83"/>
      <c r="M438" s="83"/>
    </row>
    <row r="439">
      <c r="B439" s="83"/>
      <c r="C439" s="84"/>
      <c r="J439" s="83"/>
      <c r="K439" s="83"/>
      <c r="M439" s="83"/>
    </row>
    <row r="440">
      <c r="B440" s="83"/>
      <c r="C440" s="84"/>
      <c r="J440" s="83"/>
      <c r="K440" s="83"/>
      <c r="M440" s="83"/>
    </row>
    <row r="441">
      <c r="B441" s="83"/>
      <c r="C441" s="84"/>
      <c r="J441" s="83"/>
      <c r="K441" s="83"/>
      <c r="M441" s="83"/>
    </row>
    <row r="442">
      <c r="B442" s="83"/>
      <c r="C442" s="84"/>
      <c r="J442" s="83"/>
      <c r="K442" s="83"/>
      <c r="M442" s="83"/>
    </row>
    <row r="443">
      <c r="B443" s="83"/>
      <c r="C443" s="84"/>
      <c r="J443" s="83"/>
      <c r="K443" s="83"/>
      <c r="M443" s="83"/>
    </row>
    <row r="444">
      <c r="B444" s="83"/>
      <c r="C444" s="84"/>
      <c r="J444" s="83"/>
      <c r="K444" s="83"/>
      <c r="M444" s="83"/>
    </row>
    <row r="445">
      <c r="B445" s="83"/>
      <c r="C445" s="84"/>
      <c r="J445" s="83"/>
      <c r="K445" s="83"/>
      <c r="M445" s="83"/>
    </row>
    <row r="446">
      <c r="B446" s="83"/>
      <c r="C446" s="84"/>
      <c r="J446" s="83"/>
      <c r="K446" s="83"/>
      <c r="M446" s="83"/>
    </row>
    <row r="447">
      <c r="B447" s="83"/>
      <c r="C447" s="84"/>
      <c r="J447" s="83"/>
      <c r="K447" s="83"/>
      <c r="M447" s="83"/>
    </row>
    <row r="448">
      <c r="B448" s="83"/>
      <c r="C448" s="84"/>
      <c r="J448" s="83"/>
      <c r="K448" s="83"/>
      <c r="M448" s="83"/>
    </row>
    <row r="449">
      <c r="B449" s="83"/>
      <c r="C449" s="84"/>
      <c r="J449" s="83"/>
      <c r="K449" s="83"/>
      <c r="M449" s="83"/>
    </row>
    <row r="450">
      <c r="B450" s="83"/>
      <c r="C450" s="84"/>
      <c r="J450" s="83"/>
      <c r="K450" s="83"/>
      <c r="M450" s="83"/>
    </row>
    <row r="451">
      <c r="B451" s="83"/>
      <c r="C451" s="84"/>
      <c r="J451" s="83"/>
      <c r="K451" s="83"/>
      <c r="M451" s="83"/>
    </row>
    <row r="452">
      <c r="B452" s="83"/>
      <c r="C452" s="84"/>
      <c r="J452" s="83"/>
      <c r="K452" s="83"/>
      <c r="M452" s="83"/>
    </row>
    <row r="453">
      <c r="B453" s="83"/>
      <c r="C453" s="84"/>
      <c r="J453" s="83"/>
      <c r="K453" s="83"/>
      <c r="M453" s="83"/>
    </row>
    <row r="454">
      <c r="B454" s="83"/>
      <c r="C454" s="84"/>
      <c r="J454" s="83"/>
      <c r="K454" s="83"/>
      <c r="M454" s="83"/>
    </row>
    <row r="455">
      <c r="B455" s="83"/>
      <c r="C455" s="84"/>
      <c r="J455" s="83"/>
      <c r="K455" s="83"/>
      <c r="M455" s="83"/>
    </row>
    <row r="456">
      <c r="B456" s="83"/>
      <c r="C456" s="84"/>
      <c r="J456" s="83"/>
      <c r="K456" s="83"/>
      <c r="M456" s="83"/>
    </row>
    <row r="457">
      <c r="B457" s="83"/>
      <c r="C457" s="84"/>
      <c r="J457" s="83"/>
      <c r="K457" s="83"/>
      <c r="M457" s="83"/>
    </row>
    <row r="458">
      <c r="B458" s="83"/>
      <c r="C458" s="84"/>
      <c r="J458" s="83"/>
      <c r="K458" s="83"/>
      <c r="M458" s="83"/>
    </row>
    <row r="459">
      <c r="B459" s="83"/>
      <c r="C459" s="84"/>
      <c r="J459" s="83"/>
      <c r="K459" s="83"/>
      <c r="M459" s="83"/>
    </row>
    <row r="460">
      <c r="B460" s="83"/>
      <c r="C460" s="84"/>
      <c r="J460" s="83"/>
      <c r="K460" s="83"/>
      <c r="M460" s="83"/>
    </row>
    <row r="461">
      <c r="B461" s="83"/>
      <c r="C461" s="84"/>
      <c r="J461" s="83"/>
      <c r="K461" s="83"/>
      <c r="M461" s="83"/>
    </row>
    <row r="462">
      <c r="B462" s="83"/>
      <c r="C462" s="84"/>
      <c r="J462" s="83"/>
      <c r="K462" s="83"/>
      <c r="M462" s="83"/>
    </row>
    <row r="463">
      <c r="B463" s="83"/>
      <c r="C463" s="84"/>
      <c r="J463" s="83"/>
      <c r="K463" s="83"/>
      <c r="M463" s="83"/>
    </row>
    <row r="464">
      <c r="B464" s="83"/>
      <c r="C464" s="84"/>
      <c r="J464" s="83"/>
      <c r="K464" s="83"/>
      <c r="M464" s="83"/>
    </row>
    <row r="465">
      <c r="B465" s="83"/>
      <c r="C465" s="84"/>
      <c r="J465" s="83"/>
      <c r="K465" s="83"/>
      <c r="M465" s="83"/>
    </row>
    <row r="466">
      <c r="B466" s="83"/>
      <c r="C466" s="84"/>
      <c r="J466" s="83"/>
      <c r="K466" s="83"/>
      <c r="M466" s="83"/>
    </row>
    <row r="467">
      <c r="B467" s="83"/>
      <c r="C467" s="84"/>
      <c r="J467" s="83"/>
      <c r="K467" s="83"/>
      <c r="M467" s="83"/>
    </row>
    <row r="468">
      <c r="B468" s="83"/>
      <c r="C468" s="84"/>
      <c r="J468" s="83"/>
      <c r="K468" s="83"/>
      <c r="M468" s="83"/>
    </row>
    <row r="469">
      <c r="B469" s="83"/>
      <c r="C469" s="84"/>
      <c r="J469" s="83"/>
      <c r="K469" s="83"/>
      <c r="M469" s="83"/>
    </row>
    <row r="470">
      <c r="B470" s="83"/>
      <c r="C470" s="84"/>
      <c r="J470" s="83"/>
      <c r="K470" s="83"/>
      <c r="M470" s="83"/>
    </row>
    <row r="471">
      <c r="B471" s="83"/>
      <c r="C471" s="84"/>
      <c r="J471" s="83"/>
      <c r="K471" s="83"/>
      <c r="M471" s="83"/>
    </row>
    <row r="472">
      <c r="B472" s="83"/>
      <c r="C472" s="84"/>
      <c r="J472" s="83"/>
      <c r="K472" s="83"/>
      <c r="M472" s="83"/>
    </row>
    <row r="473">
      <c r="B473" s="83"/>
      <c r="C473" s="84"/>
      <c r="J473" s="83"/>
      <c r="K473" s="83"/>
      <c r="M473" s="83"/>
    </row>
    <row r="474">
      <c r="B474" s="83"/>
      <c r="C474" s="84"/>
      <c r="J474" s="83"/>
      <c r="K474" s="83"/>
      <c r="M474" s="83"/>
    </row>
    <row r="475">
      <c r="B475" s="83"/>
      <c r="C475" s="84"/>
      <c r="J475" s="83"/>
      <c r="K475" s="83"/>
      <c r="M475" s="83"/>
    </row>
    <row r="476">
      <c r="B476" s="83"/>
      <c r="C476" s="84"/>
      <c r="J476" s="83"/>
      <c r="K476" s="83"/>
      <c r="M476" s="83"/>
    </row>
    <row r="477">
      <c r="B477" s="83"/>
      <c r="C477" s="84"/>
      <c r="J477" s="83"/>
      <c r="K477" s="83"/>
      <c r="M477" s="83"/>
    </row>
    <row r="478">
      <c r="B478" s="83"/>
      <c r="C478" s="84"/>
      <c r="J478" s="83"/>
      <c r="K478" s="83"/>
      <c r="M478" s="83"/>
    </row>
    <row r="479">
      <c r="B479" s="83"/>
      <c r="C479" s="84"/>
      <c r="J479" s="83"/>
      <c r="K479" s="83"/>
      <c r="M479" s="83"/>
    </row>
    <row r="480">
      <c r="B480" s="83"/>
      <c r="C480" s="84"/>
      <c r="J480" s="83"/>
      <c r="K480" s="83"/>
      <c r="M480" s="83"/>
    </row>
    <row r="481">
      <c r="B481" s="83"/>
      <c r="C481" s="84"/>
      <c r="J481" s="83"/>
      <c r="K481" s="83"/>
      <c r="M481" s="83"/>
    </row>
    <row r="482">
      <c r="B482" s="83"/>
      <c r="C482" s="84"/>
      <c r="J482" s="83"/>
      <c r="K482" s="83"/>
      <c r="M482" s="83"/>
    </row>
    <row r="483">
      <c r="B483" s="83"/>
      <c r="C483" s="84"/>
      <c r="J483" s="83"/>
      <c r="K483" s="83"/>
      <c r="M483" s="83"/>
    </row>
    <row r="484">
      <c r="B484" s="83"/>
      <c r="C484" s="84"/>
      <c r="J484" s="83"/>
      <c r="K484" s="83"/>
      <c r="M484" s="83"/>
    </row>
    <row r="485">
      <c r="B485" s="83"/>
      <c r="C485" s="84"/>
      <c r="J485" s="83"/>
      <c r="K485" s="83"/>
      <c r="M485" s="83"/>
    </row>
    <row r="486">
      <c r="B486" s="83"/>
      <c r="C486" s="84"/>
      <c r="J486" s="83"/>
      <c r="K486" s="83"/>
      <c r="M486" s="83"/>
    </row>
    <row r="487">
      <c r="B487" s="83"/>
      <c r="C487" s="84"/>
      <c r="J487" s="83"/>
      <c r="K487" s="83"/>
      <c r="M487" s="83"/>
    </row>
    <row r="488">
      <c r="B488" s="83"/>
      <c r="C488" s="84"/>
      <c r="J488" s="83"/>
      <c r="K488" s="83"/>
      <c r="M488" s="83"/>
    </row>
    <row r="489">
      <c r="B489" s="83"/>
      <c r="C489" s="84"/>
      <c r="J489" s="83"/>
      <c r="K489" s="83"/>
      <c r="M489" s="83"/>
    </row>
    <row r="490">
      <c r="B490" s="83"/>
      <c r="C490" s="84"/>
      <c r="J490" s="83"/>
      <c r="K490" s="83"/>
      <c r="M490" s="83"/>
    </row>
    <row r="491">
      <c r="B491" s="83"/>
      <c r="C491" s="84"/>
      <c r="J491" s="83"/>
      <c r="K491" s="83"/>
      <c r="M491" s="83"/>
    </row>
    <row r="492">
      <c r="B492" s="83"/>
      <c r="C492" s="84"/>
      <c r="J492" s="83"/>
      <c r="K492" s="83"/>
      <c r="M492" s="83"/>
    </row>
    <row r="493">
      <c r="B493" s="83"/>
      <c r="C493" s="84"/>
      <c r="J493" s="83"/>
      <c r="K493" s="83"/>
      <c r="M493" s="83"/>
    </row>
    <row r="494">
      <c r="B494" s="83"/>
      <c r="C494" s="84"/>
      <c r="J494" s="83"/>
      <c r="K494" s="83"/>
      <c r="M494" s="83"/>
    </row>
    <row r="495">
      <c r="B495" s="83"/>
      <c r="C495" s="84"/>
      <c r="J495" s="83"/>
      <c r="K495" s="83"/>
      <c r="M495" s="83"/>
    </row>
    <row r="496">
      <c r="B496" s="83"/>
      <c r="C496" s="84"/>
      <c r="J496" s="83"/>
      <c r="K496" s="83"/>
      <c r="M496" s="83"/>
    </row>
    <row r="497">
      <c r="B497" s="83"/>
      <c r="C497" s="84"/>
      <c r="J497" s="83"/>
      <c r="K497" s="83"/>
      <c r="M497" s="83"/>
    </row>
    <row r="498">
      <c r="B498" s="83"/>
      <c r="C498" s="84"/>
      <c r="J498" s="83"/>
      <c r="K498" s="83"/>
      <c r="M498" s="83"/>
    </row>
    <row r="499">
      <c r="B499" s="83"/>
      <c r="C499" s="84"/>
      <c r="J499" s="83"/>
      <c r="K499" s="83"/>
      <c r="M499" s="83"/>
    </row>
    <row r="500">
      <c r="B500" s="83"/>
      <c r="C500" s="84"/>
      <c r="J500" s="83"/>
      <c r="K500" s="83"/>
      <c r="M500" s="83"/>
    </row>
    <row r="501">
      <c r="B501" s="83"/>
      <c r="C501" s="84"/>
      <c r="J501" s="83"/>
      <c r="K501" s="83"/>
      <c r="M501" s="83"/>
    </row>
    <row r="502">
      <c r="B502" s="83"/>
      <c r="C502" s="84"/>
      <c r="J502" s="83"/>
      <c r="K502" s="83"/>
      <c r="M502" s="83"/>
    </row>
    <row r="503">
      <c r="B503" s="83"/>
      <c r="C503" s="84"/>
      <c r="J503" s="83"/>
      <c r="K503" s="83"/>
      <c r="M503" s="83"/>
    </row>
    <row r="504">
      <c r="B504" s="83"/>
      <c r="C504" s="84"/>
      <c r="J504" s="83"/>
      <c r="K504" s="83"/>
      <c r="M504" s="83"/>
    </row>
    <row r="505">
      <c r="B505" s="83"/>
      <c r="C505" s="84"/>
      <c r="J505" s="83"/>
      <c r="K505" s="83"/>
      <c r="M505" s="83"/>
    </row>
    <row r="506">
      <c r="B506" s="83"/>
      <c r="C506" s="84"/>
      <c r="J506" s="83"/>
      <c r="K506" s="83"/>
      <c r="M506" s="83"/>
    </row>
    <row r="507">
      <c r="B507" s="83"/>
      <c r="C507" s="84"/>
      <c r="J507" s="83"/>
      <c r="K507" s="83"/>
      <c r="M507" s="83"/>
    </row>
    <row r="508">
      <c r="B508" s="83"/>
      <c r="C508" s="84"/>
      <c r="J508" s="83"/>
      <c r="K508" s="83"/>
      <c r="M508" s="83"/>
    </row>
    <row r="509">
      <c r="B509" s="83"/>
      <c r="C509" s="84"/>
      <c r="J509" s="83"/>
      <c r="K509" s="83"/>
      <c r="M509" s="83"/>
    </row>
    <row r="510">
      <c r="B510" s="83"/>
      <c r="C510" s="84"/>
      <c r="J510" s="83"/>
      <c r="K510" s="83"/>
      <c r="M510" s="83"/>
    </row>
    <row r="511">
      <c r="B511" s="83"/>
      <c r="C511" s="84"/>
      <c r="J511" s="83"/>
      <c r="K511" s="83"/>
      <c r="M511" s="83"/>
    </row>
    <row r="512">
      <c r="B512" s="83"/>
      <c r="C512" s="84"/>
      <c r="J512" s="83"/>
      <c r="K512" s="83"/>
      <c r="M512" s="83"/>
    </row>
    <row r="513">
      <c r="B513" s="83"/>
      <c r="C513" s="84"/>
      <c r="J513" s="83"/>
      <c r="K513" s="83"/>
      <c r="M513" s="83"/>
    </row>
    <row r="514">
      <c r="B514" s="83"/>
      <c r="C514" s="84"/>
      <c r="J514" s="83"/>
      <c r="K514" s="83"/>
      <c r="M514" s="83"/>
    </row>
    <row r="515">
      <c r="B515" s="83"/>
      <c r="C515" s="84"/>
      <c r="J515" s="83"/>
      <c r="K515" s="83"/>
      <c r="M515" s="83"/>
    </row>
    <row r="516">
      <c r="B516" s="83"/>
      <c r="C516" s="84"/>
      <c r="J516" s="83"/>
      <c r="K516" s="83"/>
      <c r="M516" s="83"/>
    </row>
    <row r="517">
      <c r="B517" s="83"/>
      <c r="C517" s="84"/>
      <c r="J517" s="83"/>
      <c r="K517" s="83"/>
      <c r="M517" s="83"/>
    </row>
    <row r="518">
      <c r="B518" s="83"/>
      <c r="C518" s="84"/>
      <c r="J518" s="83"/>
      <c r="K518" s="83"/>
      <c r="M518" s="83"/>
    </row>
    <row r="519">
      <c r="B519" s="83"/>
      <c r="C519" s="84"/>
      <c r="J519" s="83"/>
      <c r="K519" s="83"/>
      <c r="M519" s="83"/>
    </row>
    <row r="520">
      <c r="B520" s="83"/>
      <c r="C520" s="84"/>
      <c r="J520" s="83"/>
      <c r="K520" s="83"/>
      <c r="M520" s="83"/>
    </row>
    <row r="521">
      <c r="B521" s="83"/>
      <c r="C521" s="84"/>
      <c r="J521" s="83"/>
      <c r="K521" s="83"/>
      <c r="M521" s="83"/>
    </row>
    <row r="522">
      <c r="B522" s="83"/>
      <c r="C522" s="84"/>
      <c r="J522" s="83"/>
      <c r="K522" s="83"/>
      <c r="M522" s="83"/>
    </row>
    <row r="523">
      <c r="B523" s="83"/>
      <c r="C523" s="84"/>
      <c r="J523" s="83"/>
      <c r="K523" s="83"/>
      <c r="M523" s="83"/>
    </row>
    <row r="524">
      <c r="B524" s="83"/>
      <c r="C524" s="84"/>
      <c r="J524" s="83"/>
      <c r="K524" s="83"/>
      <c r="M524" s="83"/>
    </row>
    <row r="525">
      <c r="B525" s="83"/>
      <c r="C525" s="84"/>
      <c r="J525" s="83"/>
      <c r="K525" s="83"/>
      <c r="M525" s="83"/>
    </row>
    <row r="526">
      <c r="B526" s="83"/>
      <c r="C526" s="84"/>
      <c r="J526" s="83"/>
      <c r="K526" s="83"/>
      <c r="M526" s="83"/>
    </row>
    <row r="527">
      <c r="B527" s="83"/>
      <c r="C527" s="84"/>
      <c r="J527" s="83"/>
      <c r="K527" s="83"/>
      <c r="M527" s="83"/>
    </row>
    <row r="528">
      <c r="B528" s="83"/>
      <c r="C528" s="84"/>
      <c r="J528" s="83"/>
      <c r="K528" s="83"/>
      <c r="M528" s="83"/>
    </row>
    <row r="529">
      <c r="B529" s="83"/>
      <c r="C529" s="84"/>
      <c r="J529" s="83"/>
      <c r="K529" s="83"/>
      <c r="M529" s="83"/>
    </row>
    <row r="530">
      <c r="B530" s="83"/>
      <c r="C530" s="84"/>
      <c r="J530" s="83"/>
      <c r="K530" s="83"/>
      <c r="M530" s="83"/>
    </row>
    <row r="531">
      <c r="B531" s="83"/>
      <c r="C531" s="84"/>
      <c r="J531" s="83"/>
      <c r="K531" s="83"/>
      <c r="M531" s="83"/>
    </row>
    <row r="532">
      <c r="B532" s="83"/>
      <c r="C532" s="84"/>
      <c r="J532" s="83"/>
      <c r="K532" s="83"/>
      <c r="M532" s="83"/>
    </row>
    <row r="533">
      <c r="B533" s="83"/>
      <c r="C533" s="84"/>
      <c r="J533" s="83"/>
      <c r="K533" s="83"/>
      <c r="M533" s="83"/>
    </row>
    <row r="534">
      <c r="B534" s="83"/>
      <c r="C534" s="84"/>
      <c r="J534" s="83"/>
      <c r="K534" s="83"/>
      <c r="M534" s="83"/>
    </row>
    <row r="535">
      <c r="B535" s="83"/>
      <c r="C535" s="84"/>
      <c r="J535" s="83"/>
      <c r="K535" s="83"/>
      <c r="M535" s="83"/>
    </row>
    <row r="536">
      <c r="B536" s="83"/>
      <c r="C536" s="84"/>
      <c r="J536" s="83"/>
      <c r="K536" s="83"/>
      <c r="M536" s="83"/>
    </row>
    <row r="537">
      <c r="B537" s="83"/>
      <c r="C537" s="84"/>
      <c r="J537" s="83"/>
      <c r="K537" s="83"/>
      <c r="M537" s="83"/>
    </row>
    <row r="538">
      <c r="B538" s="83"/>
      <c r="C538" s="84"/>
      <c r="J538" s="83"/>
      <c r="K538" s="83"/>
      <c r="M538" s="83"/>
    </row>
    <row r="539">
      <c r="B539" s="83"/>
      <c r="C539" s="84"/>
      <c r="J539" s="83"/>
      <c r="K539" s="83"/>
      <c r="M539" s="83"/>
    </row>
    <row r="540">
      <c r="B540" s="83"/>
      <c r="C540" s="84"/>
      <c r="J540" s="83"/>
      <c r="K540" s="83"/>
      <c r="M540" s="83"/>
    </row>
    <row r="541">
      <c r="B541" s="83"/>
      <c r="C541" s="84"/>
      <c r="J541" s="83"/>
      <c r="K541" s="83"/>
      <c r="M541" s="83"/>
    </row>
    <row r="542">
      <c r="B542" s="83"/>
      <c r="C542" s="84"/>
      <c r="J542" s="83"/>
      <c r="K542" s="83"/>
      <c r="M542" s="83"/>
    </row>
    <row r="543">
      <c r="B543" s="83"/>
      <c r="C543" s="84"/>
      <c r="J543" s="83"/>
      <c r="K543" s="83"/>
      <c r="M543" s="83"/>
    </row>
    <row r="544">
      <c r="B544" s="83"/>
      <c r="C544" s="84"/>
      <c r="J544" s="83"/>
      <c r="K544" s="83"/>
      <c r="M544" s="83"/>
    </row>
    <row r="545">
      <c r="B545" s="83"/>
      <c r="C545" s="84"/>
      <c r="J545" s="83"/>
      <c r="K545" s="83"/>
      <c r="M545" s="83"/>
    </row>
    <row r="546">
      <c r="B546" s="83"/>
      <c r="C546" s="84"/>
      <c r="J546" s="83"/>
      <c r="K546" s="83"/>
      <c r="M546" s="83"/>
    </row>
    <row r="547">
      <c r="B547" s="83"/>
      <c r="C547" s="84"/>
      <c r="J547" s="83"/>
      <c r="K547" s="83"/>
      <c r="M547" s="83"/>
    </row>
    <row r="548">
      <c r="B548" s="83"/>
      <c r="C548" s="84"/>
      <c r="J548" s="83"/>
      <c r="K548" s="83"/>
      <c r="M548" s="83"/>
    </row>
    <row r="549">
      <c r="B549" s="83"/>
      <c r="C549" s="84"/>
      <c r="J549" s="83"/>
      <c r="K549" s="83"/>
      <c r="M549" s="83"/>
    </row>
    <row r="550">
      <c r="B550" s="83"/>
      <c r="C550" s="84"/>
      <c r="J550" s="83"/>
      <c r="K550" s="83"/>
      <c r="M550" s="83"/>
    </row>
    <row r="551">
      <c r="B551" s="83"/>
      <c r="C551" s="84"/>
      <c r="J551" s="83"/>
      <c r="K551" s="83"/>
      <c r="M551" s="83"/>
    </row>
    <row r="552">
      <c r="B552" s="83"/>
      <c r="C552" s="84"/>
      <c r="J552" s="83"/>
      <c r="K552" s="83"/>
      <c r="M552" s="83"/>
    </row>
    <row r="553">
      <c r="B553" s="83"/>
      <c r="C553" s="84"/>
      <c r="J553" s="83"/>
      <c r="K553" s="83"/>
      <c r="M553" s="83"/>
    </row>
    <row r="554">
      <c r="B554" s="83"/>
      <c r="C554" s="84"/>
      <c r="J554" s="83"/>
      <c r="K554" s="83"/>
      <c r="M554" s="83"/>
    </row>
    <row r="555">
      <c r="B555" s="83"/>
      <c r="C555" s="84"/>
      <c r="J555" s="83"/>
      <c r="K555" s="83"/>
      <c r="M555" s="83"/>
    </row>
    <row r="556">
      <c r="B556" s="83"/>
      <c r="C556" s="84"/>
      <c r="J556" s="83"/>
      <c r="K556" s="83"/>
      <c r="M556" s="83"/>
    </row>
    <row r="557">
      <c r="B557" s="83"/>
      <c r="C557" s="84"/>
      <c r="J557" s="83"/>
      <c r="K557" s="83"/>
      <c r="M557" s="83"/>
    </row>
    <row r="558">
      <c r="B558" s="83"/>
      <c r="C558" s="84"/>
      <c r="J558" s="83"/>
      <c r="K558" s="83"/>
      <c r="M558" s="83"/>
    </row>
    <row r="559">
      <c r="B559" s="83"/>
      <c r="C559" s="84"/>
      <c r="J559" s="83"/>
      <c r="K559" s="83"/>
      <c r="M559" s="83"/>
    </row>
    <row r="560">
      <c r="B560" s="83"/>
      <c r="C560" s="84"/>
      <c r="J560" s="83"/>
      <c r="K560" s="83"/>
      <c r="M560" s="83"/>
    </row>
    <row r="561">
      <c r="B561" s="83"/>
      <c r="C561" s="84"/>
      <c r="J561" s="83"/>
      <c r="K561" s="83"/>
      <c r="M561" s="83"/>
    </row>
    <row r="562">
      <c r="B562" s="83"/>
      <c r="C562" s="84"/>
      <c r="J562" s="83"/>
      <c r="K562" s="83"/>
      <c r="M562" s="83"/>
    </row>
    <row r="563">
      <c r="B563" s="83"/>
      <c r="C563" s="84"/>
      <c r="J563" s="83"/>
      <c r="K563" s="83"/>
      <c r="M563" s="83"/>
    </row>
    <row r="564">
      <c r="B564" s="83"/>
      <c r="C564" s="84"/>
      <c r="J564" s="83"/>
      <c r="K564" s="83"/>
      <c r="M564" s="83"/>
    </row>
    <row r="565">
      <c r="B565" s="83"/>
      <c r="C565" s="84"/>
      <c r="J565" s="83"/>
      <c r="K565" s="83"/>
      <c r="M565" s="83"/>
    </row>
    <row r="566">
      <c r="B566" s="83"/>
      <c r="C566" s="84"/>
      <c r="J566" s="83"/>
      <c r="K566" s="83"/>
      <c r="M566" s="83"/>
    </row>
    <row r="567">
      <c r="B567" s="83"/>
      <c r="C567" s="84"/>
      <c r="J567" s="83"/>
      <c r="K567" s="83"/>
      <c r="M567" s="83"/>
    </row>
    <row r="568">
      <c r="B568" s="83"/>
      <c r="C568" s="84"/>
      <c r="J568" s="83"/>
      <c r="K568" s="83"/>
      <c r="M568" s="83"/>
    </row>
    <row r="569">
      <c r="B569" s="83"/>
      <c r="C569" s="84"/>
      <c r="J569" s="83"/>
      <c r="K569" s="83"/>
      <c r="M569" s="83"/>
    </row>
    <row r="570">
      <c r="B570" s="83"/>
      <c r="C570" s="84"/>
      <c r="J570" s="83"/>
      <c r="K570" s="83"/>
      <c r="M570" s="83"/>
    </row>
    <row r="571">
      <c r="B571" s="83"/>
      <c r="C571" s="84"/>
      <c r="J571" s="83"/>
      <c r="K571" s="83"/>
      <c r="M571" s="83"/>
    </row>
    <row r="572">
      <c r="B572" s="83"/>
      <c r="C572" s="84"/>
      <c r="J572" s="83"/>
      <c r="K572" s="83"/>
      <c r="M572" s="83"/>
    </row>
    <row r="573">
      <c r="B573" s="83"/>
      <c r="C573" s="84"/>
      <c r="J573" s="83"/>
      <c r="K573" s="83"/>
      <c r="M573" s="83"/>
    </row>
    <row r="574">
      <c r="B574" s="83"/>
      <c r="C574" s="84"/>
      <c r="J574" s="83"/>
      <c r="K574" s="83"/>
      <c r="M574" s="83"/>
    </row>
    <row r="575">
      <c r="B575" s="83"/>
      <c r="C575" s="84"/>
      <c r="J575" s="83"/>
      <c r="K575" s="83"/>
      <c r="M575" s="83"/>
    </row>
    <row r="576">
      <c r="B576" s="83"/>
      <c r="C576" s="84"/>
      <c r="J576" s="83"/>
      <c r="K576" s="83"/>
      <c r="M576" s="83"/>
    </row>
    <row r="577">
      <c r="B577" s="83"/>
      <c r="C577" s="84"/>
      <c r="J577" s="83"/>
      <c r="K577" s="83"/>
      <c r="M577" s="83"/>
    </row>
    <row r="578">
      <c r="B578" s="83"/>
      <c r="C578" s="84"/>
      <c r="J578" s="83"/>
      <c r="K578" s="83"/>
      <c r="M578" s="83"/>
    </row>
    <row r="579">
      <c r="B579" s="83"/>
      <c r="C579" s="84"/>
      <c r="J579" s="83"/>
      <c r="K579" s="83"/>
      <c r="M579" s="83"/>
    </row>
    <row r="580">
      <c r="B580" s="83"/>
      <c r="C580" s="84"/>
      <c r="J580" s="83"/>
      <c r="K580" s="83"/>
      <c r="M580" s="83"/>
    </row>
    <row r="581">
      <c r="B581" s="83"/>
      <c r="C581" s="84"/>
      <c r="J581" s="83"/>
      <c r="K581" s="83"/>
      <c r="M581" s="83"/>
    </row>
    <row r="582">
      <c r="B582" s="83"/>
      <c r="C582" s="84"/>
      <c r="J582" s="83"/>
      <c r="K582" s="83"/>
      <c r="M582" s="83"/>
    </row>
    <row r="583">
      <c r="B583" s="83"/>
      <c r="C583" s="84"/>
      <c r="J583" s="83"/>
      <c r="K583" s="83"/>
      <c r="M583" s="83"/>
    </row>
    <row r="584">
      <c r="B584" s="83"/>
      <c r="C584" s="84"/>
      <c r="J584" s="83"/>
      <c r="K584" s="83"/>
      <c r="M584" s="83"/>
    </row>
    <row r="585">
      <c r="B585" s="83"/>
      <c r="C585" s="84"/>
      <c r="J585" s="83"/>
      <c r="K585" s="83"/>
      <c r="M585" s="83"/>
    </row>
    <row r="586">
      <c r="B586" s="83"/>
      <c r="C586" s="84"/>
      <c r="J586" s="83"/>
      <c r="K586" s="83"/>
      <c r="M586" s="83"/>
    </row>
    <row r="587">
      <c r="B587" s="83"/>
      <c r="C587" s="84"/>
      <c r="J587" s="83"/>
      <c r="K587" s="83"/>
      <c r="M587" s="83"/>
    </row>
    <row r="588">
      <c r="B588" s="83"/>
      <c r="C588" s="84"/>
      <c r="J588" s="83"/>
      <c r="K588" s="83"/>
      <c r="M588" s="83"/>
    </row>
    <row r="589">
      <c r="B589" s="83"/>
      <c r="C589" s="84"/>
      <c r="J589" s="83"/>
      <c r="K589" s="83"/>
      <c r="M589" s="83"/>
    </row>
    <row r="590">
      <c r="B590" s="83"/>
      <c r="C590" s="84"/>
      <c r="J590" s="83"/>
      <c r="K590" s="83"/>
      <c r="M590" s="83"/>
    </row>
    <row r="591">
      <c r="B591" s="83"/>
      <c r="C591" s="84"/>
      <c r="J591" s="83"/>
      <c r="K591" s="83"/>
      <c r="M591" s="83"/>
    </row>
    <row r="592">
      <c r="B592" s="83"/>
      <c r="C592" s="84"/>
      <c r="J592" s="83"/>
      <c r="K592" s="83"/>
      <c r="M592" s="83"/>
    </row>
    <row r="593">
      <c r="B593" s="83"/>
      <c r="C593" s="84"/>
      <c r="J593" s="83"/>
      <c r="K593" s="83"/>
      <c r="M593" s="83"/>
    </row>
    <row r="594">
      <c r="B594" s="83"/>
      <c r="C594" s="84"/>
      <c r="J594" s="83"/>
      <c r="K594" s="83"/>
      <c r="M594" s="83"/>
    </row>
    <row r="595">
      <c r="B595" s="83"/>
      <c r="C595" s="84"/>
      <c r="J595" s="83"/>
      <c r="K595" s="83"/>
      <c r="M595" s="83"/>
    </row>
    <row r="596">
      <c r="B596" s="83"/>
      <c r="C596" s="84"/>
      <c r="J596" s="83"/>
      <c r="K596" s="83"/>
      <c r="M596" s="83"/>
    </row>
    <row r="597">
      <c r="B597" s="83"/>
      <c r="C597" s="84"/>
      <c r="J597" s="83"/>
      <c r="K597" s="83"/>
      <c r="M597" s="83"/>
    </row>
    <row r="598">
      <c r="B598" s="83"/>
      <c r="C598" s="84"/>
      <c r="J598" s="83"/>
      <c r="K598" s="83"/>
      <c r="M598" s="83"/>
    </row>
    <row r="599">
      <c r="B599" s="83"/>
      <c r="C599" s="84"/>
      <c r="J599" s="83"/>
      <c r="K599" s="83"/>
      <c r="M599" s="83"/>
    </row>
    <row r="600">
      <c r="B600" s="83"/>
      <c r="C600" s="84"/>
      <c r="J600" s="83"/>
      <c r="K600" s="83"/>
      <c r="M600" s="83"/>
    </row>
    <row r="601">
      <c r="B601" s="83"/>
      <c r="C601" s="84"/>
      <c r="J601" s="83"/>
      <c r="K601" s="83"/>
      <c r="M601" s="83"/>
    </row>
    <row r="602">
      <c r="B602" s="83"/>
      <c r="C602" s="84"/>
      <c r="J602" s="83"/>
      <c r="K602" s="83"/>
      <c r="M602" s="83"/>
    </row>
    <row r="603">
      <c r="B603" s="83"/>
      <c r="C603" s="84"/>
      <c r="J603" s="83"/>
      <c r="K603" s="83"/>
      <c r="M603" s="83"/>
    </row>
    <row r="604">
      <c r="B604" s="83"/>
      <c r="C604" s="84"/>
      <c r="J604" s="83"/>
      <c r="K604" s="83"/>
      <c r="M604" s="83"/>
    </row>
    <row r="605">
      <c r="B605" s="83"/>
      <c r="C605" s="84"/>
      <c r="J605" s="83"/>
      <c r="K605" s="83"/>
      <c r="M605" s="83"/>
    </row>
    <row r="606">
      <c r="B606" s="83"/>
      <c r="C606" s="84"/>
      <c r="J606" s="83"/>
      <c r="K606" s="83"/>
      <c r="M606" s="83"/>
    </row>
    <row r="607">
      <c r="B607" s="83"/>
      <c r="C607" s="84"/>
      <c r="J607" s="83"/>
      <c r="K607" s="83"/>
      <c r="M607" s="83"/>
    </row>
    <row r="608">
      <c r="B608" s="83"/>
      <c r="C608" s="84"/>
      <c r="J608" s="83"/>
      <c r="K608" s="83"/>
      <c r="M608" s="83"/>
    </row>
    <row r="609">
      <c r="B609" s="83"/>
      <c r="C609" s="84"/>
      <c r="J609" s="83"/>
      <c r="K609" s="83"/>
      <c r="M609" s="83"/>
    </row>
    <row r="610">
      <c r="B610" s="83"/>
      <c r="C610" s="84"/>
      <c r="J610" s="83"/>
      <c r="K610" s="83"/>
      <c r="M610" s="83"/>
    </row>
    <row r="611">
      <c r="B611" s="83"/>
      <c r="C611" s="84"/>
      <c r="J611" s="83"/>
      <c r="K611" s="83"/>
      <c r="M611" s="83"/>
    </row>
    <row r="612">
      <c r="B612" s="83"/>
      <c r="C612" s="84"/>
      <c r="J612" s="83"/>
      <c r="K612" s="83"/>
      <c r="M612" s="83"/>
    </row>
    <row r="613">
      <c r="B613" s="83"/>
      <c r="C613" s="84"/>
      <c r="J613" s="83"/>
      <c r="K613" s="83"/>
      <c r="M613" s="83"/>
    </row>
    <row r="614">
      <c r="B614" s="83"/>
      <c r="C614" s="84"/>
      <c r="J614" s="83"/>
      <c r="K614" s="83"/>
      <c r="M614" s="83"/>
    </row>
    <row r="615">
      <c r="B615" s="83"/>
      <c r="C615" s="84"/>
      <c r="J615" s="83"/>
      <c r="K615" s="83"/>
      <c r="M615" s="83"/>
    </row>
    <row r="616">
      <c r="B616" s="83"/>
      <c r="C616" s="84"/>
      <c r="J616" s="83"/>
      <c r="K616" s="83"/>
      <c r="M616" s="83"/>
    </row>
    <row r="617">
      <c r="B617" s="83"/>
      <c r="C617" s="84"/>
      <c r="J617" s="83"/>
      <c r="K617" s="83"/>
      <c r="M617" s="83"/>
    </row>
    <row r="618">
      <c r="B618" s="83"/>
      <c r="C618" s="84"/>
      <c r="J618" s="83"/>
      <c r="K618" s="83"/>
      <c r="M618" s="83"/>
    </row>
    <row r="619">
      <c r="B619" s="83"/>
      <c r="C619" s="84"/>
      <c r="J619" s="83"/>
      <c r="K619" s="83"/>
      <c r="M619" s="83"/>
    </row>
    <row r="620">
      <c r="B620" s="83"/>
      <c r="C620" s="84"/>
      <c r="J620" s="83"/>
      <c r="K620" s="83"/>
      <c r="M620" s="83"/>
    </row>
    <row r="621">
      <c r="B621" s="83"/>
      <c r="C621" s="84"/>
      <c r="J621" s="83"/>
      <c r="K621" s="83"/>
      <c r="M621" s="83"/>
    </row>
    <row r="622">
      <c r="B622" s="83"/>
      <c r="C622" s="84"/>
      <c r="J622" s="83"/>
      <c r="K622" s="83"/>
      <c r="M622" s="83"/>
    </row>
    <row r="623">
      <c r="B623" s="83"/>
      <c r="C623" s="84"/>
      <c r="J623" s="83"/>
      <c r="K623" s="83"/>
      <c r="M623" s="83"/>
    </row>
    <row r="624">
      <c r="B624" s="83"/>
      <c r="C624" s="84"/>
      <c r="J624" s="83"/>
      <c r="K624" s="83"/>
      <c r="M624" s="83"/>
    </row>
    <row r="625">
      <c r="B625" s="83"/>
      <c r="C625" s="84"/>
      <c r="J625" s="83"/>
      <c r="K625" s="83"/>
      <c r="M625" s="83"/>
    </row>
    <row r="626">
      <c r="B626" s="83"/>
      <c r="C626" s="84"/>
      <c r="J626" s="83"/>
      <c r="K626" s="83"/>
      <c r="M626" s="83"/>
    </row>
    <row r="627">
      <c r="B627" s="83"/>
      <c r="C627" s="84"/>
      <c r="J627" s="83"/>
      <c r="K627" s="83"/>
      <c r="M627" s="83"/>
    </row>
    <row r="628">
      <c r="B628" s="83"/>
      <c r="C628" s="84"/>
      <c r="J628" s="83"/>
      <c r="K628" s="83"/>
      <c r="M628" s="83"/>
    </row>
    <row r="629">
      <c r="B629" s="83"/>
      <c r="C629" s="84"/>
      <c r="J629" s="83"/>
      <c r="K629" s="83"/>
      <c r="M629" s="83"/>
    </row>
    <row r="630">
      <c r="B630" s="83"/>
      <c r="C630" s="84"/>
      <c r="J630" s="83"/>
      <c r="K630" s="83"/>
      <c r="M630" s="83"/>
    </row>
    <row r="631">
      <c r="B631" s="83"/>
      <c r="C631" s="84"/>
      <c r="J631" s="83"/>
      <c r="K631" s="83"/>
      <c r="M631" s="83"/>
    </row>
    <row r="632">
      <c r="B632" s="83"/>
      <c r="C632" s="84"/>
      <c r="J632" s="83"/>
      <c r="K632" s="83"/>
      <c r="M632" s="83"/>
    </row>
    <row r="633">
      <c r="B633" s="83"/>
      <c r="C633" s="84"/>
      <c r="J633" s="83"/>
      <c r="K633" s="83"/>
      <c r="M633" s="83"/>
    </row>
    <row r="634">
      <c r="B634" s="83"/>
      <c r="C634" s="84"/>
      <c r="J634" s="83"/>
      <c r="K634" s="83"/>
      <c r="M634" s="83"/>
    </row>
    <row r="635">
      <c r="B635" s="83"/>
      <c r="C635" s="84"/>
      <c r="J635" s="83"/>
      <c r="K635" s="83"/>
      <c r="M635" s="83"/>
    </row>
    <row r="636">
      <c r="B636" s="83"/>
      <c r="C636" s="84"/>
      <c r="J636" s="83"/>
      <c r="K636" s="83"/>
      <c r="M636" s="83"/>
    </row>
    <row r="637">
      <c r="B637" s="83"/>
      <c r="C637" s="84"/>
      <c r="J637" s="83"/>
      <c r="K637" s="83"/>
      <c r="M637" s="83"/>
    </row>
    <row r="638">
      <c r="B638" s="83"/>
      <c r="C638" s="84"/>
      <c r="J638" s="83"/>
      <c r="K638" s="83"/>
      <c r="M638" s="83"/>
    </row>
    <row r="639">
      <c r="B639" s="83"/>
      <c r="C639" s="84"/>
      <c r="J639" s="83"/>
      <c r="K639" s="83"/>
      <c r="M639" s="83"/>
    </row>
    <row r="640">
      <c r="B640" s="83"/>
      <c r="C640" s="84"/>
      <c r="J640" s="83"/>
      <c r="K640" s="83"/>
      <c r="M640" s="83"/>
    </row>
    <row r="641">
      <c r="B641" s="83"/>
      <c r="C641" s="84"/>
      <c r="J641" s="83"/>
      <c r="K641" s="83"/>
      <c r="M641" s="83"/>
    </row>
    <row r="642">
      <c r="B642" s="83"/>
      <c r="C642" s="84"/>
      <c r="J642" s="83"/>
      <c r="K642" s="83"/>
      <c r="M642" s="83"/>
    </row>
    <row r="643">
      <c r="B643" s="83"/>
      <c r="C643" s="84"/>
      <c r="J643" s="83"/>
      <c r="K643" s="83"/>
      <c r="M643" s="83"/>
    </row>
    <row r="644">
      <c r="B644" s="83"/>
      <c r="C644" s="84"/>
      <c r="J644" s="83"/>
      <c r="K644" s="83"/>
      <c r="M644" s="83"/>
    </row>
    <row r="645">
      <c r="B645" s="83"/>
      <c r="C645" s="84"/>
      <c r="J645" s="83"/>
      <c r="K645" s="83"/>
      <c r="M645" s="83"/>
    </row>
    <row r="646">
      <c r="B646" s="83"/>
      <c r="C646" s="84"/>
      <c r="J646" s="83"/>
      <c r="K646" s="83"/>
      <c r="M646" s="83"/>
    </row>
    <row r="647">
      <c r="B647" s="83"/>
      <c r="C647" s="84"/>
      <c r="J647" s="83"/>
      <c r="K647" s="83"/>
      <c r="M647" s="83"/>
    </row>
    <row r="648">
      <c r="B648" s="83"/>
      <c r="C648" s="84"/>
      <c r="J648" s="83"/>
      <c r="K648" s="83"/>
      <c r="M648" s="83"/>
    </row>
    <row r="649">
      <c r="B649" s="83"/>
      <c r="C649" s="84"/>
      <c r="J649" s="83"/>
      <c r="K649" s="83"/>
      <c r="M649" s="83"/>
    </row>
    <row r="650">
      <c r="B650" s="83"/>
      <c r="C650" s="84"/>
      <c r="J650" s="83"/>
      <c r="K650" s="83"/>
      <c r="M650" s="83"/>
    </row>
    <row r="651">
      <c r="B651" s="83"/>
      <c r="C651" s="84"/>
      <c r="J651" s="83"/>
      <c r="K651" s="83"/>
      <c r="M651" s="83"/>
    </row>
    <row r="652">
      <c r="B652" s="83"/>
      <c r="C652" s="84"/>
      <c r="J652" s="83"/>
      <c r="K652" s="83"/>
      <c r="M652" s="83"/>
    </row>
    <row r="653">
      <c r="B653" s="83"/>
      <c r="C653" s="84"/>
      <c r="J653" s="83"/>
      <c r="K653" s="83"/>
      <c r="M653" s="83"/>
    </row>
    <row r="654">
      <c r="B654" s="83"/>
      <c r="C654" s="84"/>
      <c r="J654" s="83"/>
      <c r="K654" s="83"/>
      <c r="M654" s="83"/>
    </row>
    <row r="655">
      <c r="B655" s="83"/>
      <c r="C655" s="84"/>
      <c r="J655" s="83"/>
      <c r="K655" s="83"/>
      <c r="M655" s="83"/>
    </row>
    <row r="656">
      <c r="B656" s="83"/>
      <c r="C656" s="84"/>
      <c r="J656" s="83"/>
      <c r="K656" s="83"/>
      <c r="M656" s="83"/>
    </row>
    <row r="657">
      <c r="B657" s="83"/>
      <c r="C657" s="84"/>
      <c r="J657" s="83"/>
      <c r="K657" s="83"/>
      <c r="M657" s="83"/>
    </row>
    <row r="658">
      <c r="B658" s="83"/>
      <c r="C658" s="84"/>
      <c r="J658" s="83"/>
      <c r="K658" s="83"/>
      <c r="M658" s="83"/>
    </row>
    <row r="659">
      <c r="B659" s="83"/>
      <c r="C659" s="84"/>
      <c r="J659" s="83"/>
      <c r="K659" s="83"/>
      <c r="M659" s="83"/>
    </row>
    <row r="660">
      <c r="B660" s="83"/>
      <c r="C660" s="84"/>
      <c r="J660" s="83"/>
      <c r="K660" s="83"/>
      <c r="M660" s="83"/>
    </row>
    <row r="661">
      <c r="B661" s="83"/>
      <c r="C661" s="84"/>
      <c r="J661" s="83"/>
      <c r="K661" s="83"/>
      <c r="M661" s="83"/>
    </row>
    <row r="662">
      <c r="B662" s="83"/>
      <c r="C662" s="84"/>
      <c r="J662" s="83"/>
      <c r="K662" s="83"/>
      <c r="M662" s="83"/>
    </row>
    <row r="663">
      <c r="B663" s="83"/>
      <c r="C663" s="84"/>
      <c r="J663" s="83"/>
      <c r="K663" s="83"/>
      <c r="M663" s="83"/>
    </row>
    <row r="664">
      <c r="B664" s="83"/>
      <c r="C664" s="84"/>
      <c r="J664" s="83"/>
      <c r="K664" s="83"/>
      <c r="M664" s="83"/>
    </row>
    <row r="665">
      <c r="B665" s="83"/>
      <c r="C665" s="84"/>
      <c r="J665" s="83"/>
      <c r="K665" s="83"/>
      <c r="M665" s="83"/>
    </row>
    <row r="666">
      <c r="B666" s="83"/>
      <c r="C666" s="84"/>
      <c r="J666" s="83"/>
      <c r="K666" s="83"/>
      <c r="M666" s="83"/>
    </row>
    <row r="667">
      <c r="B667" s="83"/>
      <c r="C667" s="84"/>
      <c r="J667" s="83"/>
      <c r="K667" s="83"/>
      <c r="M667" s="83"/>
    </row>
    <row r="668">
      <c r="B668" s="83"/>
      <c r="C668" s="84"/>
      <c r="J668" s="83"/>
      <c r="K668" s="83"/>
      <c r="M668" s="83"/>
    </row>
    <row r="669">
      <c r="B669" s="83"/>
      <c r="C669" s="84"/>
      <c r="J669" s="83"/>
      <c r="K669" s="83"/>
      <c r="M669" s="83"/>
    </row>
    <row r="670">
      <c r="B670" s="83"/>
      <c r="C670" s="84"/>
      <c r="J670" s="83"/>
      <c r="K670" s="83"/>
      <c r="M670" s="83"/>
    </row>
    <row r="671">
      <c r="B671" s="83"/>
      <c r="C671" s="84"/>
      <c r="J671" s="83"/>
      <c r="K671" s="83"/>
      <c r="M671" s="83"/>
    </row>
    <row r="672">
      <c r="B672" s="83"/>
      <c r="C672" s="84"/>
      <c r="J672" s="83"/>
      <c r="K672" s="83"/>
      <c r="M672" s="83"/>
    </row>
    <row r="673">
      <c r="B673" s="83"/>
      <c r="C673" s="84"/>
      <c r="J673" s="83"/>
      <c r="K673" s="83"/>
      <c r="M673" s="83"/>
    </row>
    <row r="674">
      <c r="B674" s="83"/>
      <c r="C674" s="84"/>
      <c r="J674" s="83"/>
      <c r="K674" s="83"/>
      <c r="M674" s="83"/>
    </row>
    <row r="675">
      <c r="B675" s="83"/>
      <c r="C675" s="84"/>
      <c r="J675" s="83"/>
      <c r="K675" s="83"/>
      <c r="M675" s="83"/>
    </row>
    <row r="676">
      <c r="B676" s="83"/>
      <c r="C676" s="84"/>
      <c r="J676" s="83"/>
      <c r="K676" s="83"/>
      <c r="M676" s="83"/>
    </row>
    <row r="677">
      <c r="B677" s="83"/>
      <c r="C677" s="84"/>
      <c r="J677" s="83"/>
      <c r="K677" s="83"/>
      <c r="M677" s="83"/>
    </row>
    <row r="678">
      <c r="B678" s="83"/>
      <c r="C678" s="84"/>
      <c r="J678" s="83"/>
      <c r="K678" s="83"/>
      <c r="M678" s="83"/>
    </row>
    <row r="679">
      <c r="B679" s="83"/>
      <c r="C679" s="84"/>
      <c r="J679" s="83"/>
      <c r="K679" s="83"/>
      <c r="M679" s="83"/>
    </row>
    <row r="680">
      <c r="B680" s="83"/>
      <c r="C680" s="84"/>
      <c r="J680" s="83"/>
      <c r="K680" s="83"/>
      <c r="M680" s="83"/>
    </row>
    <row r="681">
      <c r="B681" s="83"/>
      <c r="C681" s="84"/>
      <c r="J681" s="83"/>
      <c r="K681" s="83"/>
      <c r="M681" s="83"/>
    </row>
    <row r="682">
      <c r="B682" s="83"/>
      <c r="C682" s="84"/>
      <c r="J682" s="83"/>
      <c r="K682" s="83"/>
      <c r="M682" s="83"/>
    </row>
    <row r="683">
      <c r="B683" s="83"/>
      <c r="C683" s="84"/>
      <c r="J683" s="83"/>
      <c r="K683" s="83"/>
      <c r="M683" s="83"/>
    </row>
    <row r="684">
      <c r="B684" s="83"/>
      <c r="C684" s="84"/>
      <c r="J684" s="83"/>
      <c r="K684" s="83"/>
      <c r="M684" s="83"/>
    </row>
    <row r="685">
      <c r="B685" s="83"/>
      <c r="C685" s="84"/>
      <c r="J685" s="83"/>
      <c r="K685" s="83"/>
      <c r="M685" s="83"/>
    </row>
    <row r="686">
      <c r="B686" s="83"/>
      <c r="C686" s="84"/>
      <c r="J686" s="83"/>
      <c r="K686" s="83"/>
      <c r="M686" s="83"/>
    </row>
    <row r="687">
      <c r="B687" s="83"/>
      <c r="C687" s="84"/>
      <c r="J687" s="83"/>
      <c r="K687" s="83"/>
      <c r="M687" s="83"/>
    </row>
    <row r="688">
      <c r="B688" s="83"/>
      <c r="C688" s="84"/>
      <c r="J688" s="83"/>
      <c r="K688" s="83"/>
      <c r="M688" s="83"/>
    </row>
    <row r="689">
      <c r="B689" s="83"/>
      <c r="C689" s="84"/>
      <c r="J689" s="83"/>
      <c r="K689" s="83"/>
      <c r="M689" s="83"/>
    </row>
    <row r="690">
      <c r="B690" s="83"/>
      <c r="C690" s="84"/>
      <c r="J690" s="83"/>
      <c r="K690" s="83"/>
      <c r="M690" s="83"/>
    </row>
    <row r="691">
      <c r="B691" s="83"/>
      <c r="C691" s="84"/>
      <c r="J691" s="83"/>
      <c r="K691" s="83"/>
      <c r="M691" s="83"/>
    </row>
    <row r="692">
      <c r="B692" s="83"/>
      <c r="C692" s="84"/>
      <c r="J692" s="83"/>
      <c r="K692" s="83"/>
      <c r="M692" s="83"/>
    </row>
    <row r="693">
      <c r="B693" s="83"/>
      <c r="C693" s="84"/>
      <c r="J693" s="83"/>
      <c r="K693" s="83"/>
      <c r="M693" s="83"/>
    </row>
    <row r="694">
      <c r="B694" s="83"/>
      <c r="C694" s="84"/>
      <c r="J694" s="83"/>
      <c r="K694" s="83"/>
      <c r="M694" s="83"/>
    </row>
    <row r="695">
      <c r="B695" s="83"/>
      <c r="C695" s="84"/>
      <c r="J695" s="83"/>
      <c r="K695" s="83"/>
      <c r="M695" s="83"/>
    </row>
    <row r="696">
      <c r="B696" s="83"/>
      <c r="C696" s="84"/>
      <c r="J696" s="83"/>
      <c r="K696" s="83"/>
      <c r="M696" s="83"/>
    </row>
    <row r="697">
      <c r="B697" s="83"/>
      <c r="C697" s="84"/>
      <c r="J697" s="83"/>
      <c r="K697" s="83"/>
      <c r="M697" s="83"/>
    </row>
    <row r="698">
      <c r="B698" s="83"/>
      <c r="C698" s="84"/>
      <c r="J698" s="83"/>
      <c r="K698" s="83"/>
      <c r="M698" s="83"/>
    </row>
    <row r="699">
      <c r="B699" s="83"/>
      <c r="C699" s="84"/>
      <c r="J699" s="83"/>
      <c r="K699" s="83"/>
      <c r="M699" s="83"/>
    </row>
    <row r="700">
      <c r="B700" s="83"/>
      <c r="C700" s="84"/>
      <c r="J700" s="83"/>
      <c r="K700" s="83"/>
      <c r="M700" s="83"/>
    </row>
    <row r="701">
      <c r="B701" s="83"/>
      <c r="C701" s="84"/>
      <c r="J701" s="83"/>
      <c r="K701" s="83"/>
      <c r="M701" s="83"/>
    </row>
    <row r="702">
      <c r="B702" s="83"/>
      <c r="C702" s="84"/>
      <c r="J702" s="83"/>
      <c r="K702" s="83"/>
      <c r="M702" s="83"/>
    </row>
    <row r="703">
      <c r="B703" s="83"/>
      <c r="C703" s="84"/>
      <c r="J703" s="83"/>
      <c r="K703" s="83"/>
      <c r="M703" s="83"/>
    </row>
    <row r="704">
      <c r="B704" s="83"/>
      <c r="C704" s="84"/>
      <c r="J704" s="83"/>
      <c r="K704" s="83"/>
      <c r="M704" s="83"/>
    </row>
    <row r="705">
      <c r="B705" s="83"/>
      <c r="C705" s="84"/>
      <c r="J705" s="83"/>
      <c r="K705" s="83"/>
      <c r="M705" s="83"/>
    </row>
    <row r="706">
      <c r="B706" s="83"/>
      <c r="C706" s="84"/>
      <c r="J706" s="83"/>
      <c r="K706" s="83"/>
      <c r="M706" s="83"/>
    </row>
    <row r="707">
      <c r="B707" s="83"/>
      <c r="C707" s="84"/>
      <c r="J707" s="83"/>
      <c r="K707" s="83"/>
      <c r="M707" s="83"/>
    </row>
    <row r="708">
      <c r="B708" s="83"/>
      <c r="C708" s="84"/>
      <c r="J708" s="83"/>
      <c r="K708" s="83"/>
      <c r="M708" s="83"/>
    </row>
    <row r="709">
      <c r="B709" s="83"/>
      <c r="C709" s="84"/>
      <c r="J709" s="83"/>
      <c r="K709" s="83"/>
      <c r="M709" s="83"/>
    </row>
    <row r="710">
      <c r="B710" s="83"/>
      <c r="C710" s="84"/>
      <c r="J710" s="83"/>
      <c r="K710" s="83"/>
      <c r="M710" s="83"/>
    </row>
    <row r="711">
      <c r="B711" s="83"/>
      <c r="C711" s="84"/>
      <c r="J711" s="83"/>
      <c r="K711" s="83"/>
      <c r="M711" s="83"/>
    </row>
    <row r="712">
      <c r="B712" s="83"/>
      <c r="C712" s="84"/>
      <c r="J712" s="83"/>
      <c r="K712" s="83"/>
      <c r="M712" s="83"/>
    </row>
    <row r="713">
      <c r="B713" s="83"/>
      <c r="C713" s="84"/>
      <c r="J713" s="83"/>
      <c r="K713" s="83"/>
      <c r="M713" s="83"/>
    </row>
    <row r="714">
      <c r="B714" s="83"/>
      <c r="C714" s="84"/>
      <c r="J714" s="83"/>
      <c r="K714" s="83"/>
      <c r="M714" s="83"/>
    </row>
    <row r="715">
      <c r="B715" s="83"/>
      <c r="C715" s="84"/>
      <c r="J715" s="83"/>
      <c r="K715" s="83"/>
      <c r="M715" s="83"/>
    </row>
    <row r="716">
      <c r="B716" s="83"/>
      <c r="C716" s="84"/>
      <c r="J716" s="83"/>
      <c r="K716" s="83"/>
      <c r="M716" s="83"/>
    </row>
    <row r="717">
      <c r="B717" s="83"/>
      <c r="C717" s="84"/>
      <c r="J717" s="83"/>
      <c r="K717" s="83"/>
      <c r="M717" s="83"/>
    </row>
    <row r="718">
      <c r="B718" s="83"/>
      <c r="C718" s="84"/>
      <c r="J718" s="83"/>
      <c r="K718" s="83"/>
      <c r="M718" s="83"/>
    </row>
    <row r="719">
      <c r="B719" s="83"/>
      <c r="C719" s="84"/>
      <c r="J719" s="83"/>
      <c r="K719" s="83"/>
      <c r="M719" s="83"/>
    </row>
    <row r="720">
      <c r="B720" s="83"/>
      <c r="C720" s="84"/>
      <c r="J720" s="83"/>
      <c r="K720" s="83"/>
      <c r="M720" s="83"/>
    </row>
    <row r="721">
      <c r="B721" s="83"/>
      <c r="C721" s="84"/>
      <c r="J721" s="83"/>
      <c r="K721" s="83"/>
      <c r="M721" s="83"/>
    </row>
    <row r="722">
      <c r="B722" s="83"/>
      <c r="C722" s="84"/>
      <c r="J722" s="83"/>
      <c r="K722" s="83"/>
      <c r="M722" s="83"/>
    </row>
    <row r="723">
      <c r="B723" s="83"/>
      <c r="C723" s="84"/>
      <c r="J723" s="83"/>
      <c r="K723" s="83"/>
      <c r="M723" s="83"/>
    </row>
    <row r="724">
      <c r="B724" s="83"/>
      <c r="C724" s="84"/>
      <c r="J724" s="83"/>
      <c r="K724" s="83"/>
      <c r="M724" s="83"/>
    </row>
    <row r="725">
      <c r="B725" s="83"/>
      <c r="C725" s="84"/>
      <c r="J725" s="83"/>
      <c r="K725" s="83"/>
      <c r="M725" s="83"/>
    </row>
    <row r="726">
      <c r="B726" s="83"/>
      <c r="C726" s="84"/>
      <c r="J726" s="83"/>
      <c r="K726" s="83"/>
      <c r="M726" s="83"/>
    </row>
    <row r="727">
      <c r="B727" s="83"/>
      <c r="C727" s="84"/>
      <c r="J727" s="83"/>
      <c r="K727" s="83"/>
      <c r="M727" s="83"/>
    </row>
    <row r="728">
      <c r="B728" s="83"/>
      <c r="C728" s="84"/>
      <c r="J728" s="83"/>
      <c r="K728" s="83"/>
      <c r="M728" s="83"/>
    </row>
    <row r="729">
      <c r="B729" s="83"/>
      <c r="C729" s="84"/>
      <c r="J729" s="83"/>
      <c r="K729" s="83"/>
      <c r="M729" s="83"/>
    </row>
    <row r="730">
      <c r="B730" s="83"/>
      <c r="C730" s="84"/>
      <c r="J730" s="83"/>
      <c r="K730" s="83"/>
      <c r="M730" s="83"/>
    </row>
    <row r="731">
      <c r="B731" s="83"/>
      <c r="C731" s="84"/>
      <c r="J731" s="83"/>
      <c r="K731" s="83"/>
      <c r="M731" s="83"/>
    </row>
    <row r="732">
      <c r="B732" s="83"/>
      <c r="C732" s="84"/>
      <c r="J732" s="83"/>
      <c r="K732" s="83"/>
      <c r="M732" s="83"/>
    </row>
    <row r="733">
      <c r="B733" s="83"/>
      <c r="C733" s="84"/>
      <c r="J733" s="83"/>
      <c r="K733" s="83"/>
      <c r="M733" s="83"/>
    </row>
    <row r="734">
      <c r="B734" s="83"/>
      <c r="C734" s="84"/>
      <c r="J734" s="83"/>
      <c r="K734" s="83"/>
      <c r="M734" s="83"/>
    </row>
    <row r="735">
      <c r="B735" s="83"/>
      <c r="C735" s="84"/>
      <c r="J735" s="83"/>
      <c r="K735" s="83"/>
      <c r="M735" s="83"/>
    </row>
    <row r="736">
      <c r="B736" s="83"/>
      <c r="C736" s="84"/>
      <c r="J736" s="83"/>
      <c r="K736" s="83"/>
      <c r="M736" s="83"/>
    </row>
    <row r="737">
      <c r="B737" s="83"/>
      <c r="C737" s="84"/>
      <c r="J737" s="83"/>
      <c r="K737" s="83"/>
      <c r="M737" s="83"/>
    </row>
    <row r="738">
      <c r="B738" s="83"/>
      <c r="C738" s="84"/>
      <c r="J738" s="83"/>
      <c r="K738" s="83"/>
      <c r="M738" s="83"/>
    </row>
    <row r="739">
      <c r="B739" s="83"/>
      <c r="C739" s="84"/>
      <c r="J739" s="83"/>
      <c r="K739" s="83"/>
      <c r="M739" s="83"/>
    </row>
    <row r="740">
      <c r="B740" s="83"/>
      <c r="C740" s="84"/>
      <c r="J740" s="83"/>
      <c r="K740" s="83"/>
      <c r="M740" s="83"/>
    </row>
    <row r="741">
      <c r="B741" s="83"/>
      <c r="C741" s="84"/>
      <c r="J741" s="83"/>
      <c r="K741" s="83"/>
      <c r="M741" s="83"/>
    </row>
    <row r="742">
      <c r="B742" s="83"/>
      <c r="C742" s="84"/>
      <c r="J742" s="83"/>
      <c r="K742" s="83"/>
      <c r="M742" s="83"/>
    </row>
    <row r="743">
      <c r="B743" s="83"/>
      <c r="C743" s="84"/>
      <c r="J743" s="83"/>
      <c r="K743" s="83"/>
      <c r="M743" s="83"/>
    </row>
    <row r="744">
      <c r="B744" s="83"/>
      <c r="C744" s="84"/>
      <c r="J744" s="83"/>
      <c r="K744" s="83"/>
      <c r="M744" s="83"/>
    </row>
    <row r="745">
      <c r="B745" s="83"/>
      <c r="C745" s="84"/>
      <c r="J745" s="83"/>
      <c r="K745" s="83"/>
      <c r="M745" s="83"/>
    </row>
    <row r="746">
      <c r="B746" s="83"/>
      <c r="C746" s="84"/>
      <c r="J746" s="83"/>
      <c r="K746" s="83"/>
      <c r="M746" s="83"/>
    </row>
    <row r="747">
      <c r="B747" s="83"/>
      <c r="C747" s="84"/>
      <c r="J747" s="83"/>
      <c r="K747" s="83"/>
      <c r="M747" s="83"/>
    </row>
    <row r="748">
      <c r="B748" s="83"/>
      <c r="C748" s="84"/>
      <c r="J748" s="83"/>
      <c r="K748" s="83"/>
      <c r="M748" s="83"/>
    </row>
    <row r="749">
      <c r="B749" s="83"/>
      <c r="C749" s="84"/>
      <c r="J749" s="83"/>
      <c r="K749" s="83"/>
      <c r="M749" s="83"/>
    </row>
    <row r="750">
      <c r="B750" s="83"/>
      <c r="C750" s="84"/>
      <c r="J750" s="83"/>
      <c r="K750" s="83"/>
      <c r="M750" s="83"/>
    </row>
    <row r="751">
      <c r="B751" s="83"/>
      <c r="C751" s="84"/>
      <c r="J751" s="83"/>
      <c r="K751" s="83"/>
      <c r="M751" s="83"/>
    </row>
    <row r="752">
      <c r="B752" s="83"/>
      <c r="C752" s="84"/>
      <c r="J752" s="83"/>
      <c r="K752" s="83"/>
      <c r="M752" s="83"/>
    </row>
    <row r="753">
      <c r="B753" s="83"/>
      <c r="C753" s="84"/>
      <c r="J753" s="83"/>
      <c r="K753" s="83"/>
      <c r="M753" s="83"/>
    </row>
    <row r="754">
      <c r="B754" s="83"/>
      <c r="C754" s="84"/>
      <c r="J754" s="83"/>
      <c r="K754" s="83"/>
      <c r="M754" s="83"/>
    </row>
    <row r="755">
      <c r="B755" s="83"/>
      <c r="C755" s="84"/>
      <c r="J755" s="83"/>
      <c r="K755" s="83"/>
      <c r="M755" s="83"/>
    </row>
    <row r="756">
      <c r="B756" s="83"/>
      <c r="C756" s="84"/>
      <c r="J756" s="83"/>
      <c r="K756" s="83"/>
      <c r="M756" s="83"/>
    </row>
    <row r="757">
      <c r="B757" s="83"/>
      <c r="C757" s="84"/>
      <c r="J757" s="83"/>
      <c r="K757" s="83"/>
      <c r="M757" s="83"/>
    </row>
    <row r="758">
      <c r="B758" s="83"/>
      <c r="C758" s="84"/>
      <c r="J758" s="83"/>
      <c r="K758" s="83"/>
      <c r="M758" s="83"/>
    </row>
    <row r="759">
      <c r="B759" s="83"/>
      <c r="C759" s="84"/>
      <c r="J759" s="83"/>
      <c r="K759" s="83"/>
      <c r="M759" s="83"/>
    </row>
    <row r="760">
      <c r="B760" s="83"/>
      <c r="C760" s="84"/>
      <c r="J760" s="83"/>
      <c r="K760" s="83"/>
      <c r="M760" s="83"/>
    </row>
    <row r="761">
      <c r="B761" s="83"/>
      <c r="C761" s="84"/>
      <c r="J761" s="83"/>
      <c r="K761" s="83"/>
      <c r="M761" s="83"/>
    </row>
    <row r="762">
      <c r="B762" s="83"/>
      <c r="C762" s="84"/>
      <c r="J762" s="83"/>
      <c r="K762" s="83"/>
      <c r="M762" s="83"/>
    </row>
    <row r="763">
      <c r="B763" s="83"/>
      <c r="C763" s="84"/>
      <c r="J763" s="83"/>
      <c r="K763" s="83"/>
      <c r="M763" s="83"/>
    </row>
    <row r="764">
      <c r="B764" s="83"/>
      <c r="C764" s="84"/>
      <c r="J764" s="83"/>
      <c r="K764" s="83"/>
      <c r="M764" s="83"/>
    </row>
    <row r="765">
      <c r="B765" s="83"/>
      <c r="C765" s="84"/>
      <c r="J765" s="83"/>
      <c r="K765" s="83"/>
      <c r="M765" s="83"/>
    </row>
    <row r="766">
      <c r="B766" s="83"/>
      <c r="C766" s="84"/>
      <c r="J766" s="83"/>
      <c r="K766" s="83"/>
      <c r="M766" s="83"/>
    </row>
    <row r="767">
      <c r="B767" s="83"/>
      <c r="C767" s="84"/>
      <c r="J767" s="83"/>
      <c r="K767" s="83"/>
      <c r="M767" s="83"/>
    </row>
    <row r="768">
      <c r="B768" s="83"/>
      <c r="C768" s="84"/>
      <c r="J768" s="83"/>
      <c r="K768" s="83"/>
      <c r="M768" s="83"/>
    </row>
    <row r="769">
      <c r="B769" s="83"/>
      <c r="C769" s="84"/>
      <c r="J769" s="83"/>
      <c r="K769" s="83"/>
      <c r="M769" s="83"/>
    </row>
    <row r="770">
      <c r="B770" s="83"/>
      <c r="C770" s="84"/>
      <c r="J770" s="83"/>
      <c r="K770" s="83"/>
      <c r="M770" s="83"/>
    </row>
    <row r="771">
      <c r="B771" s="83"/>
      <c r="C771" s="84"/>
      <c r="J771" s="83"/>
      <c r="K771" s="83"/>
      <c r="M771" s="83"/>
    </row>
    <row r="772">
      <c r="B772" s="83"/>
      <c r="C772" s="84"/>
      <c r="J772" s="83"/>
      <c r="K772" s="83"/>
      <c r="M772" s="83"/>
    </row>
    <row r="773">
      <c r="B773" s="83"/>
      <c r="C773" s="84"/>
      <c r="J773" s="83"/>
      <c r="K773" s="83"/>
      <c r="M773" s="83"/>
    </row>
    <row r="774">
      <c r="B774" s="83"/>
      <c r="C774" s="84"/>
      <c r="J774" s="83"/>
      <c r="K774" s="83"/>
      <c r="M774" s="83"/>
    </row>
    <row r="775">
      <c r="B775" s="83"/>
      <c r="C775" s="84"/>
      <c r="J775" s="83"/>
      <c r="K775" s="83"/>
      <c r="M775" s="83"/>
    </row>
    <row r="776">
      <c r="B776" s="83"/>
      <c r="C776" s="84"/>
      <c r="J776" s="83"/>
      <c r="K776" s="83"/>
      <c r="M776" s="83"/>
    </row>
    <row r="777">
      <c r="B777" s="83"/>
      <c r="C777" s="84"/>
      <c r="J777" s="83"/>
      <c r="K777" s="83"/>
      <c r="M777" s="83"/>
    </row>
    <row r="778">
      <c r="B778" s="83"/>
      <c r="C778" s="84"/>
      <c r="J778" s="83"/>
      <c r="K778" s="83"/>
      <c r="M778" s="83"/>
    </row>
    <row r="779">
      <c r="B779" s="83"/>
      <c r="C779" s="84"/>
      <c r="J779" s="83"/>
      <c r="K779" s="83"/>
      <c r="M779" s="83"/>
    </row>
    <row r="780">
      <c r="B780" s="83"/>
      <c r="C780" s="84"/>
      <c r="J780" s="83"/>
      <c r="K780" s="83"/>
      <c r="M780" s="83"/>
    </row>
    <row r="781">
      <c r="B781" s="83"/>
      <c r="C781" s="84"/>
      <c r="J781" s="83"/>
      <c r="K781" s="83"/>
      <c r="M781" s="83"/>
    </row>
    <row r="782">
      <c r="B782" s="83"/>
      <c r="C782" s="84"/>
      <c r="J782" s="83"/>
      <c r="K782" s="83"/>
      <c r="M782" s="83"/>
    </row>
    <row r="783">
      <c r="B783" s="83"/>
      <c r="C783" s="84"/>
      <c r="J783" s="83"/>
      <c r="K783" s="83"/>
      <c r="M783" s="83"/>
    </row>
    <row r="784">
      <c r="B784" s="83"/>
      <c r="C784" s="84"/>
      <c r="J784" s="83"/>
      <c r="K784" s="83"/>
      <c r="M784" s="83"/>
    </row>
    <row r="785">
      <c r="B785" s="83"/>
      <c r="C785" s="84"/>
      <c r="J785" s="83"/>
      <c r="K785" s="83"/>
      <c r="M785" s="83"/>
    </row>
    <row r="786">
      <c r="B786" s="83"/>
      <c r="C786" s="84"/>
      <c r="J786" s="83"/>
      <c r="K786" s="83"/>
      <c r="M786" s="83"/>
    </row>
    <row r="787">
      <c r="B787" s="83"/>
      <c r="C787" s="84"/>
      <c r="J787" s="83"/>
      <c r="K787" s="83"/>
      <c r="M787" s="83"/>
    </row>
    <row r="788">
      <c r="B788" s="83"/>
      <c r="C788" s="84"/>
      <c r="J788" s="83"/>
      <c r="K788" s="83"/>
      <c r="M788" s="83"/>
    </row>
    <row r="789">
      <c r="B789" s="83"/>
      <c r="C789" s="84"/>
      <c r="J789" s="83"/>
      <c r="K789" s="83"/>
      <c r="M789" s="83"/>
    </row>
    <row r="790">
      <c r="B790" s="83"/>
      <c r="C790" s="84"/>
      <c r="J790" s="83"/>
      <c r="K790" s="83"/>
      <c r="M790" s="83"/>
    </row>
    <row r="791">
      <c r="B791" s="83"/>
      <c r="C791" s="84"/>
      <c r="J791" s="83"/>
      <c r="K791" s="83"/>
      <c r="M791" s="83"/>
    </row>
    <row r="792">
      <c r="B792" s="83"/>
      <c r="C792" s="84"/>
      <c r="J792" s="83"/>
      <c r="K792" s="83"/>
      <c r="M792" s="83"/>
    </row>
    <row r="793">
      <c r="B793" s="83"/>
      <c r="C793" s="84"/>
      <c r="J793" s="83"/>
      <c r="K793" s="83"/>
      <c r="M793" s="83"/>
    </row>
    <row r="794">
      <c r="B794" s="83"/>
      <c r="C794" s="84"/>
      <c r="J794" s="83"/>
      <c r="K794" s="83"/>
      <c r="M794" s="83"/>
    </row>
    <row r="795">
      <c r="B795" s="83"/>
      <c r="C795" s="84"/>
      <c r="J795" s="83"/>
      <c r="K795" s="83"/>
      <c r="M795" s="83"/>
    </row>
    <row r="796">
      <c r="B796" s="83"/>
      <c r="C796" s="84"/>
      <c r="J796" s="83"/>
      <c r="K796" s="83"/>
      <c r="M796" s="83"/>
    </row>
    <row r="797">
      <c r="B797" s="83"/>
      <c r="C797" s="84"/>
      <c r="J797" s="83"/>
      <c r="K797" s="83"/>
      <c r="M797" s="83"/>
    </row>
    <row r="798">
      <c r="B798" s="83"/>
      <c r="C798" s="84"/>
      <c r="J798" s="83"/>
      <c r="K798" s="83"/>
      <c r="M798" s="83"/>
    </row>
    <row r="799">
      <c r="B799" s="83"/>
      <c r="C799" s="84"/>
      <c r="J799" s="83"/>
      <c r="K799" s="83"/>
      <c r="M799" s="83"/>
    </row>
    <row r="800">
      <c r="B800" s="83"/>
      <c r="C800" s="84"/>
      <c r="J800" s="83"/>
      <c r="K800" s="83"/>
      <c r="M800" s="83"/>
    </row>
    <row r="801">
      <c r="B801" s="83"/>
      <c r="C801" s="84"/>
      <c r="J801" s="83"/>
      <c r="K801" s="83"/>
      <c r="M801" s="83"/>
    </row>
    <row r="802">
      <c r="B802" s="83"/>
      <c r="C802" s="84"/>
      <c r="J802" s="83"/>
      <c r="K802" s="83"/>
      <c r="M802" s="83"/>
    </row>
    <row r="803">
      <c r="B803" s="83"/>
      <c r="C803" s="84"/>
      <c r="J803" s="83"/>
      <c r="K803" s="83"/>
      <c r="M803" s="83"/>
    </row>
    <row r="804">
      <c r="B804" s="83"/>
      <c r="C804" s="84"/>
      <c r="J804" s="83"/>
      <c r="K804" s="83"/>
      <c r="M804" s="83"/>
    </row>
    <row r="805">
      <c r="B805" s="83"/>
      <c r="C805" s="84"/>
      <c r="J805" s="83"/>
      <c r="K805" s="83"/>
      <c r="M805" s="83"/>
    </row>
    <row r="806">
      <c r="B806" s="83"/>
      <c r="C806" s="84"/>
      <c r="J806" s="83"/>
      <c r="K806" s="83"/>
      <c r="M806" s="83"/>
    </row>
    <row r="807">
      <c r="B807" s="83"/>
      <c r="C807" s="84"/>
      <c r="J807" s="83"/>
      <c r="K807" s="83"/>
      <c r="M807" s="83"/>
    </row>
    <row r="808">
      <c r="B808" s="83"/>
      <c r="C808" s="84"/>
      <c r="J808" s="83"/>
      <c r="K808" s="83"/>
      <c r="M808" s="83"/>
    </row>
    <row r="809">
      <c r="B809" s="83"/>
      <c r="C809" s="84"/>
      <c r="J809" s="83"/>
      <c r="K809" s="83"/>
      <c r="M809" s="83"/>
    </row>
    <row r="810">
      <c r="B810" s="83"/>
      <c r="C810" s="84"/>
      <c r="J810" s="83"/>
      <c r="K810" s="83"/>
      <c r="M810" s="83"/>
    </row>
    <row r="811">
      <c r="B811" s="83"/>
      <c r="C811" s="84"/>
      <c r="J811" s="83"/>
      <c r="K811" s="83"/>
      <c r="M811" s="83"/>
    </row>
    <row r="812">
      <c r="B812" s="83"/>
      <c r="C812" s="84"/>
      <c r="J812" s="83"/>
      <c r="K812" s="83"/>
      <c r="M812" s="83"/>
    </row>
    <row r="813">
      <c r="B813" s="83"/>
      <c r="C813" s="84"/>
      <c r="J813" s="83"/>
      <c r="K813" s="83"/>
      <c r="M813" s="83"/>
    </row>
    <row r="814">
      <c r="B814" s="83"/>
      <c r="C814" s="84"/>
      <c r="J814" s="83"/>
      <c r="K814" s="83"/>
      <c r="M814" s="83"/>
    </row>
    <row r="815">
      <c r="B815" s="83"/>
      <c r="C815" s="84"/>
      <c r="J815" s="83"/>
      <c r="K815" s="83"/>
      <c r="M815" s="83"/>
    </row>
    <row r="816">
      <c r="B816" s="83"/>
      <c r="C816" s="84"/>
      <c r="J816" s="83"/>
      <c r="K816" s="83"/>
      <c r="M816" s="83"/>
    </row>
    <row r="817">
      <c r="B817" s="83"/>
      <c r="C817" s="84"/>
      <c r="J817" s="83"/>
      <c r="K817" s="83"/>
      <c r="M817" s="83"/>
    </row>
    <row r="818">
      <c r="B818" s="83"/>
      <c r="C818" s="84"/>
      <c r="J818" s="83"/>
      <c r="K818" s="83"/>
      <c r="M818" s="83"/>
    </row>
    <row r="819">
      <c r="B819" s="83"/>
      <c r="C819" s="84"/>
      <c r="J819" s="83"/>
      <c r="K819" s="83"/>
      <c r="M819" s="83"/>
    </row>
    <row r="820">
      <c r="B820" s="83"/>
      <c r="C820" s="84"/>
      <c r="J820" s="83"/>
      <c r="K820" s="83"/>
      <c r="M820" s="83"/>
    </row>
    <row r="821">
      <c r="B821" s="83"/>
      <c r="C821" s="84"/>
      <c r="J821" s="83"/>
      <c r="K821" s="83"/>
      <c r="M821" s="83"/>
    </row>
    <row r="822">
      <c r="B822" s="83"/>
      <c r="C822" s="84"/>
      <c r="J822" s="83"/>
      <c r="K822" s="83"/>
      <c r="M822" s="83"/>
    </row>
    <row r="823">
      <c r="B823" s="83"/>
      <c r="C823" s="84"/>
      <c r="J823" s="83"/>
      <c r="K823" s="83"/>
      <c r="M823" s="83"/>
    </row>
    <row r="824">
      <c r="B824" s="83"/>
      <c r="C824" s="84"/>
      <c r="J824" s="83"/>
      <c r="K824" s="83"/>
      <c r="M824" s="83"/>
    </row>
    <row r="825">
      <c r="B825" s="83"/>
      <c r="C825" s="84"/>
      <c r="J825" s="83"/>
      <c r="K825" s="83"/>
      <c r="M825" s="83"/>
    </row>
    <row r="826">
      <c r="B826" s="83"/>
      <c r="C826" s="84"/>
      <c r="J826" s="83"/>
      <c r="K826" s="83"/>
      <c r="M826" s="83"/>
    </row>
    <row r="827">
      <c r="B827" s="83"/>
      <c r="C827" s="84"/>
      <c r="J827" s="83"/>
      <c r="K827" s="83"/>
      <c r="M827" s="83"/>
    </row>
    <row r="828">
      <c r="B828" s="83"/>
      <c r="C828" s="84"/>
      <c r="J828" s="83"/>
      <c r="K828" s="83"/>
      <c r="M828" s="83"/>
    </row>
    <row r="829">
      <c r="B829" s="83"/>
      <c r="C829" s="84"/>
      <c r="J829" s="83"/>
      <c r="K829" s="83"/>
      <c r="M829" s="83"/>
    </row>
    <row r="830">
      <c r="B830" s="83"/>
      <c r="C830" s="84"/>
      <c r="J830" s="83"/>
      <c r="K830" s="83"/>
      <c r="M830" s="83"/>
    </row>
    <row r="831">
      <c r="B831" s="83"/>
      <c r="C831" s="84"/>
      <c r="J831" s="83"/>
      <c r="K831" s="83"/>
      <c r="M831" s="83"/>
    </row>
    <row r="832">
      <c r="B832" s="83"/>
      <c r="C832" s="84"/>
      <c r="J832" s="83"/>
      <c r="K832" s="83"/>
      <c r="M832" s="83"/>
    </row>
    <row r="833">
      <c r="B833" s="83"/>
      <c r="C833" s="84"/>
      <c r="J833" s="83"/>
      <c r="K833" s="83"/>
      <c r="M833" s="83"/>
    </row>
    <row r="834">
      <c r="B834" s="83"/>
      <c r="C834" s="84"/>
      <c r="J834" s="83"/>
      <c r="K834" s="83"/>
      <c r="M834" s="83"/>
    </row>
    <row r="835">
      <c r="B835" s="83"/>
      <c r="C835" s="84"/>
      <c r="J835" s="83"/>
      <c r="K835" s="83"/>
      <c r="M835" s="83"/>
    </row>
    <row r="836">
      <c r="B836" s="83"/>
      <c r="C836" s="84"/>
      <c r="J836" s="83"/>
      <c r="K836" s="83"/>
      <c r="M836" s="83"/>
    </row>
    <row r="837">
      <c r="B837" s="83"/>
      <c r="C837" s="84"/>
      <c r="J837" s="83"/>
      <c r="K837" s="83"/>
      <c r="M837" s="83"/>
    </row>
    <row r="838">
      <c r="B838" s="83"/>
      <c r="C838" s="84"/>
      <c r="J838" s="83"/>
      <c r="K838" s="83"/>
      <c r="M838" s="83"/>
    </row>
    <row r="839">
      <c r="B839" s="83"/>
      <c r="C839" s="84"/>
      <c r="J839" s="83"/>
      <c r="K839" s="83"/>
      <c r="M839" s="83"/>
    </row>
    <row r="840">
      <c r="B840" s="83"/>
      <c r="C840" s="84"/>
      <c r="J840" s="83"/>
      <c r="K840" s="83"/>
      <c r="M840" s="83"/>
    </row>
    <row r="841">
      <c r="B841" s="83"/>
      <c r="C841" s="84"/>
      <c r="J841" s="83"/>
      <c r="K841" s="83"/>
      <c r="M841" s="83"/>
    </row>
    <row r="842">
      <c r="B842" s="83"/>
      <c r="C842" s="84"/>
      <c r="J842" s="83"/>
      <c r="K842" s="83"/>
      <c r="M842" s="83"/>
    </row>
    <row r="843">
      <c r="B843" s="83"/>
      <c r="C843" s="84"/>
      <c r="J843" s="83"/>
      <c r="K843" s="83"/>
      <c r="M843" s="83"/>
    </row>
    <row r="844">
      <c r="B844" s="83"/>
      <c r="C844" s="84"/>
      <c r="J844" s="83"/>
      <c r="K844" s="83"/>
      <c r="M844" s="83"/>
    </row>
    <row r="845">
      <c r="B845" s="83"/>
      <c r="C845" s="84"/>
      <c r="J845" s="83"/>
      <c r="K845" s="83"/>
      <c r="M845" s="83"/>
    </row>
    <row r="846">
      <c r="B846" s="83"/>
      <c r="C846" s="84"/>
      <c r="J846" s="83"/>
      <c r="K846" s="83"/>
      <c r="M846" s="83"/>
    </row>
    <row r="847">
      <c r="B847" s="83"/>
      <c r="C847" s="84"/>
      <c r="J847" s="83"/>
      <c r="K847" s="83"/>
      <c r="M847" s="83"/>
    </row>
    <row r="848">
      <c r="B848" s="83"/>
      <c r="C848" s="84"/>
      <c r="J848" s="83"/>
      <c r="K848" s="83"/>
      <c r="M848" s="83"/>
    </row>
    <row r="849">
      <c r="B849" s="83"/>
      <c r="C849" s="84"/>
      <c r="J849" s="83"/>
      <c r="K849" s="83"/>
      <c r="M849" s="83"/>
    </row>
    <row r="850">
      <c r="B850" s="83"/>
      <c r="C850" s="84"/>
      <c r="J850" s="83"/>
      <c r="K850" s="83"/>
      <c r="M850" s="83"/>
    </row>
    <row r="851">
      <c r="B851" s="83"/>
      <c r="C851" s="84"/>
      <c r="J851" s="83"/>
      <c r="K851" s="83"/>
      <c r="M851" s="83"/>
    </row>
    <row r="852">
      <c r="B852" s="83"/>
      <c r="C852" s="84"/>
      <c r="J852" s="83"/>
      <c r="K852" s="83"/>
      <c r="M852" s="83"/>
    </row>
    <row r="853">
      <c r="B853" s="83"/>
      <c r="C853" s="84"/>
      <c r="J853" s="83"/>
      <c r="K853" s="83"/>
      <c r="M853" s="83"/>
    </row>
    <row r="854">
      <c r="B854" s="83"/>
      <c r="C854" s="84"/>
      <c r="J854" s="83"/>
      <c r="K854" s="83"/>
      <c r="M854" s="83"/>
    </row>
    <row r="855">
      <c r="B855" s="83"/>
      <c r="C855" s="84"/>
      <c r="J855" s="83"/>
      <c r="K855" s="83"/>
      <c r="M855" s="83"/>
    </row>
    <row r="856">
      <c r="B856" s="83"/>
      <c r="C856" s="84"/>
      <c r="J856" s="83"/>
      <c r="K856" s="83"/>
      <c r="M856" s="83"/>
    </row>
    <row r="857">
      <c r="B857" s="83"/>
      <c r="C857" s="84"/>
      <c r="J857" s="83"/>
      <c r="K857" s="83"/>
      <c r="M857" s="83"/>
    </row>
    <row r="858">
      <c r="B858" s="83"/>
      <c r="C858" s="84"/>
      <c r="J858" s="83"/>
      <c r="K858" s="83"/>
      <c r="M858" s="83"/>
    </row>
    <row r="859">
      <c r="B859" s="83"/>
      <c r="C859" s="84"/>
      <c r="J859" s="83"/>
      <c r="K859" s="83"/>
      <c r="M859" s="83"/>
    </row>
    <row r="860">
      <c r="B860" s="83"/>
      <c r="C860" s="84"/>
      <c r="J860" s="83"/>
      <c r="K860" s="83"/>
      <c r="M860" s="83"/>
    </row>
    <row r="861">
      <c r="B861" s="83"/>
      <c r="C861" s="84"/>
      <c r="J861" s="83"/>
      <c r="K861" s="83"/>
      <c r="M861" s="83"/>
    </row>
    <row r="862">
      <c r="B862" s="83"/>
      <c r="C862" s="84"/>
      <c r="J862" s="83"/>
      <c r="K862" s="83"/>
      <c r="M862" s="83"/>
    </row>
    <row r="863">
      <c r="B863" s="83"/>
      <c r="C863" s="84"/>
      <c r="J863" s="83"/>
      <c r="K863" s="83"/>
      <c r="M863" s="83"/>
    </row>
    <row r="864">
      <c r="B864" s="83"/>
      <c r="C864" s="84"/>
      <c r="J864" s="83"/>
      <c r="K864" s="83"/>
      <c r="M864" s="83"/>
    </row>
    <row r="865">
      <c r="B865" s="83"/>
      <c r="C865" s="84"/>
      <c r="J865" s="83"/>
      <c r="K865" s="83"/>
      <c r="M865" s="83"/>
    </row>
    <row r="866">
      <c r="B866" s="83"/>
      <c r="C866" s="84"/>
      <c r="J866" s="83"/>
      <c r="K866" s="83"/>
      <c r="M866" s="83"/>
    </row>
    <row r="867">
      <c r="B867" s="83"/>
      <c r="C867" s="84"/>
      <c r="J867" s="83"/>
      <c r="K867" s="83"/>
      <c r="M867" s="83"/>
    </row>
    <row r="868">
      <c r="B868" s="83"/>
      <c r="C868" s="84"/>
      <c r="J868" s="83"/>
      <c r="K868" s="83"/>
      <c r="M868" s="83"/>
    </row>
    <row r="869">
      <c r="B869" s="83"/>
      <c r="C869" s="84"/>
      <c r="J869" s="83"/>
      <c r="K869" s="83"/>
      <c r="M869" s="83"/>
    </row>
    <row r="870">
      <c r="B870" s="83"/>
      <c r="C870" s="84"/>
      <c r="J870" s="83"/>
      <c r="K870" s="83"/>
      <c r="M870" s="83"/>
    </row>
    <row r="871">
      <c r="B871" s="83"/>
      <c r="C871" s="84"/>
      <c r="J871" s="83"/>
      <c r="K871" s="83"/>
      <c r="M871" s="83"/>
    </row>
    <row r="872">
      <c r="B872" s="83"/>
      <c r="C872" s="84"/>
      <c r="J872" s="83"/>
      <c r="K872" s="83"/>
      <c r="M872" s="83"/>
    </row>
    <row r="873">
      <c r="B873" s="83"/>
      <c r="C873" s="84"/>
      <c r="J873" s="83"/>
      <c r="K873" s="83"/>
      <c r="M873" s="83"/>
    </row>
    <row r="874">
      <c r="B874" s="83"/>
      <c r="C874" s="84"/>
      <c r="J874" s="83"/>
      <c r="K874" s="83"/>
      <c r="M874" s="83"/>
    </row>
    <row r="875">
      <c r="B875" s="83"/>
      <c r="C875" s="84"/>
      <c r="J875" s="83"/>
      <c r="K875" s="83"/>
      <c r="M875" s="83"/>
    </row>
    <row r="876">
      <c r="B876" s="83"/>
      <c r="C876" s="84"/>
      <c r="J876" s="83"/>
      <c r="K876" s="83"/>
      <c r="M876" s="83"/>
    </row>
    <row r="877">
      <c r="B877" s="83"/>
      <c r="C877" s="84"/>
      <c r="J877" s="83"/>
      <c r="K877" s="83"/>
      <c r="M877" s="83"/>
    </row>
    <row r="878">
      <c r="B878" s="83"/>
      <c r="C878" s="84"/>
      <c r="J878" s="83"/>
      <c r="K878" s="83"/>
      <c r="M878" s="83"/>
    </row>
    <row r="879">
      <c r="B879" s="83"/>
      <c r="C879" s="84"/>
      <c r="J879" s="83"/>
      <c r="K879" s="83"/>
      <c r="M879" s="83"/>
    </row>
    <row r="880">
      <c r="B880" s="83"/>
      <c r="C880" s="84"/>
      <c r="J880" s="83"/>
      <c r="K880" s="83"/>
      <c r="M880" s="83"/>
    </row>
    <row r="881">
      <c r="B881" s="83"/>
      <c r="C881" s="84"/>
      <c r="J881" s="83"/>
      <c r="K881" s="83"/>
      <c r="M881" s="83"/>
    </row>
    <row r="882">
      <c r="B882" s="83"/>
      <c r="C882" s="84"/>
      <c r="J882" s="83"/>
      <c r="K882" s="83"/>
      <c r="M882" s="83"/>
    </row>
    <row r="883">
      <c r="B883" s="83"/>
      <c r="C883" s="84"/>
      <c r="J883" s="83"/>
      <c r="K883" s="83"/>
      <c r="M883" s="83"/>
    </row>
    <row r="884">
      <c r="B884" s="83"/>
      <c r="C884" s="84"/>
      <c r="J884" s="83"/>
      <c r="K884" s="83"/>
      <c r="M884" s="83"/>
    </row>
    <row r="885">
      <c r="B885" s="83"/>
      <c r="C885" s="84"/>
      <c r="J885" s="83"/>
      <c r="K885" s="83"/>
      <c r="M885" s="83"/>
    </row>
    <row r="886">
      <c r="B886" s="83"/>
      <c r="C886" s="84"/>
      <c r="J886" s="83"/>
      <c r="K886" s="83"/>
      <c r="M886" s="83"/>
    </row>
    <row r="887">
      <c r="B887" s="83"/>
      <c r="C887" s="84"/>
      <c r="J887" s="83"/>
      <c r="K887" s="83"/>
      <c r="M887" s="83"/>
    </row>
    <row r="888">
      <c r="B888" s="83"/>
      <c r="C888" s="84"/>
      <c r="J888" s="83"/>
      <c r="K888" s="83"/>
      <c r="M888" s="83"/>
    </row>
    <row r="889">
      <c r="B889" s="83"/>
      <c r="C889" s="84"/>
      <c r="J889" s="83"/>
      <c r="K889" s="83"/>
      <c r="M889" s="83"/>
    </row>
    <row r="890">
      <c r="B890" s="83"/>
      <c r="C890" s="84"/>
      <c r="J890" s="83"/>
      <c r="K890" s="83"/>
      <c r="M890" s="83"/>
    </row>
    <row r="891">
      <c r="B891" s="83"/>
      <c r="C891" s="84"/>
      <c r="J891" s="83"/>
      <c r="K891" s="83"/>
      <c r="M891" s="83"/>
    </row>
    <row r="892">
      <c r="B892" s="83"/>
      <c r="C892" s="84"/>
      <c r="J892" s="83"/>
      <c r="K892" s="83"/>
      <c r="M892" s="83"/>
    </row>
    <row r="893">
      <c r="B893" s="83"/>
      <c r="C893" s="84"/>
      <c r="J893" s="83"/>
      <c r="K893" s="83"/>
      <c r="M893" s="83"/>
    </row>
    <row r="894">
      <c r="B894" s="83"/>
      <c r="C894" s="84"/>
      <c r="J894" s="83"/>
      <c r="K894" s="83"/>
      <c r="M894" s="83"/>
    </row>
    <row r="895">
      <c r="B895" s="83"/>
      <c r="C895" s="84"/>
      <c r="J895" s="83"/>
      <c r="K895" s="83"/>
      <c r="M895" s="83"/>
    </row>
    <row r="896">
      <c r="B896" s="83"/>
      <c r="C896" s="84"/>
      <c r="J896" s="83"/>
      <c r="K896" s="83"/>
      <c r="M896" s="83"/>
    </row>
    <row r="897">
      <c r="B897" s="83"/>
      <c r="C897" s="84"/>
      <c r="J897" s="83"/>
      <c r="K897" s="83"/>
      <c r="M897" s="83"/>
    </row>
    <row r="898">
      <c r="B898" s="83"/>
      <c r="C898" s="84"/>
      <c r="J898" s="83"/>
      <c r="K898" s="83"/>
      <c r="M898" s="83"/>
    </row>
    <row r="899">
      <c r="B899" s="83"/>
      <c r="C899" s="84"/>
      <c r="J899" s="83"/>
      <c r="K899" s="83"/>
      <c r="M899" s="83"/>
    </row>
    <row r="900">
      <c r="B900" s="83"/>
      <c r="C900" s="84"/>
      <c r="J900" s="83"/>
      <c r="K900" s="83"/>
      <c r="M900" s="83"/>
    </row>
    <row r="901">
      <c r="B901" s="83"/>
      <c r="C901" s="84"/>
      <c r="J901" s="83"/>
      <c r="K901" s="83"/>
      <c r="M901" s="83"/>
    </row>
    <row r="902">
      <c r="B902" s="83"/>
      <c r="C902" s="84"/>
      <c r="J902" s="83"/>
      <c r="K902" s="83"/>
      <c r="M902" s="83"/>
    </row>
    <row r="903">
      <c r="B903" s="83"/>
      <c r="C903" s="84"/>
      <c r="J903" s="83"/>
      <c r="K903" s="83"/>
      <c r="M903" s="83"/>
    </row>
    <row r="904">
      <c r="B904" s="83"/>
      <c r="C904" s="84"/>
      <c r="J904" s="83"/>
      <c r="K904" s="83"/>
      <c r="M904" s="83"/>
    </row>
    <row r="905">
      <c r="B905" s="83"/>
      <c r="C905" s="84"/>
      <c r="J905" s="83"/>
      <c r="K905" s="83"/>
      <c r="M905" s="83"/>
    </row>
    <row r="906">
      <c r="B906" s="83"/>
      <c r="C906" s="84"/>
      <c r="J906" s="83"/>
      <c r="K906" s="83"/>
      <c r="M906" s="83"/>
    </row>
    <row r="907">
      <c r="B907" s="83"/>
      <c r="C907" s="84"/>
      <c r="J907" s="83"/>
      <c r="K907" s="83"/>
      <c r="M907" s="83"/>
    </row>
    <row r="908">
      <c r="B908" s="83"/>
      <c r="C908" s="84"/>
      <c r="J908" s="83"/>
      <c r="K908" s="83"/>
      <c r="M908" s="83"/>
    </row>
    <row r="909">
      <c r="B909" s="83"/>
      <c r="C909" s="84"/>
      <c r="J909" s="83"/>
      <c r="K909" s="83"/>
      <c r="M909" s="83"/>
    </row>
    <row r="910">
      <c r="B910" s="83"/>
      <c r="C910" s="84"/>
      <c r="J910" s="83"/>
      <c r="K910" s="83"/>
      <c r="M910" s="83"/>
    </row>
    <row r="911">
      <c r="B911" s="83"/>
      <c r="C911" s="84"/>
      <c r="J911" s="83"/>
      <c r="K911" s="83"/>
      <c r="M911" s="83"/>
    </row>
    <row r="912">
      <c r="B912" s="83"/>
      <c r="C912" s="84"/>
      <c r="J912" s="83"/>
      <c r="K912" s="83"/>
      <c r="M912" s="83"/>
    </row>
    <row r="913">
      <c r="B913" s="83"/>
      <c r="C913" s="84"/>
      <c r="J913" s="83"/>
      <c r="K913" s="83"/>
      <c r="M913" s="83"/>
    </row>
    <row r="914">
      <c r="B914" s="83"/>
      <c r="C914" s="84"/>
      <c r="J914" s="83"/>
      <c r="K914" s="83"/>
      <c r="M914" s="83"/>
    </row>
    <row r="915">
      <c r="B915" s="83"/>
      <c r="C915" s="84"/>
      <c r="J915" s="83"/>
      <c r="K915" s="83"/>
      <c r="M915" s="83"/>
    </row>
    <row r="916">
      <c r="B916" s="83"/>
      <c r="C916" s="84"/>
      <c r="J916" s="83"/>
      <c r="K916" s="83"/>
      <c r="M916" s="83"/>
    </row>
    <row r="917">
      <c r="B917" s="83"/>
      <c r="C917" s="84"/>
      <c r="J917" s="83"/>
      <c r="K917" s="83"/>
      <c r="M917" s="83"/>
    </row>
    <row r="918">
      <c r="B918" s="83"/>
      <c r="C918" s="84"/>
      <c r="J918" s="83"/>
      <c r="K918" s="83"/>
      <c r="M918" s="83"/>
    </row>
    <row r="919">
      <c r="B919" s="83"/>
      <c r="C919" s="84"/>
      <c r="J919" s="83"/>
      <c r="K919" s="83"/>
      <c r="M919" s="83"/>
    </row>
    <row r="920">
      <c r="B920" s="83"/>
      <c r="C920" s="84"/>
      <c r="J920" s="83"/>
      <c r="K920" s="83"/>
      <c r="M920" s="83"/>
    </row>
    <row r="921">
      <c r="B921" s="83"/>
      <c r="C921" s="84"/>
      <c r="J921" s="83"/>
      <c r="K921" s="83"/>
      <c r="M921" s="83"/>
    </row>
    <row r="922">
      <c r="B922" s="83"/>
      <c r="C922" s="84"/>
      <c r="J922" s="83"/>
      <c r="K922" s="83"/>
      <c r="M922" s="83"/>
    </row>
    <row r="923">
      <c r="B923" s="83"/>
      <c r="C923" s="84"/>
      <c r="J923" s="83"/>
      <c r="K923" s="83"/>
      <c r="M923" s="83"/>
    </row>
    <row r="924">
      <c r="B924" s="83"/>
      <c r="C924" s="84"/>
      <c r="J924" s="83"/>
      <c r="K924" s="83"/>
      <c r="M924" s="83"/>
    </row>
    <row r="925">
      <c r="B925" s="83"/>
      <c r="C925" s="84"/>
      <c r="J925" s="83"/>
      <c r="K925" s="83"/>
      <c r="M925" s="83"/>
    </row>
    <row r="926">
      <c r="B926" s="83"/>
      <c r="C926" s="84"/>
      <c r="J926" s="83"/>
      <c r="K926" s="83"/>
      <c r="M926" s="83"/>
    </row>
    <row r="927">
      <c r="B927" s="83"/>
      <c r="C927" s="84"/>
      <c r="J927" s="83"/>
      <c r="K927" s="83"/>
      <c r="M927" s="83"/>
    </row>
    <row r="928">
      <c r="B928" s="83"/>
      <c r="C928" s="84"/>
      <c r="J928" s="83"/>
      <c r="K928" s="83"/>
      <c r="M928" s="83"/>
    </row>
    <row r="929">
      <c r="B929" s="83"/>
      <c r="C929" s="84"/>
      <c r="J929" s="83"/>
      <c r="K929" s="83"/>
      <c r="M929" s="83"/>
    </row>
    <row r="930">
      <c r="B930" s="83"/>
      <c r="C930" s="84"/>
      <c r="J930" s="83"/>
      <c r="K930" s="83"/>
      <c r="M930" s="83"/>
    </row>
    <row r="931">
      <c r="B931" s="83"/>
      <c r="C931" s="84"/>
      <c r="J931" s="83"/>
      <c r="K931" s="83"/>
      <c r="M931" s="83"/>
    </row>
    <row r="932">
      <c r="B932" s="83"/>
      <c r="C932" s="84"/>
      <c r="J932" s="83"/>
      <c r="K932" s="83"/>
      <c r="M932" s="83"/>
    </row>
    <row r="933">
      <c r="B933" s="83"/>
      <c r="C933" s="84"/>
      <c r="J933" s="83"/>
      <c r="K933" s="83"/>
      <c r="M933" s="83"/>
    </row>
    <row r="934">
      <c r="B934" s="83"/>
      <c r="C934" s="84"/>
      <c r="J934" s="83"/>
      <c r="K934" s="83"/>
      <c r="M934" s="83"/>
    </row>
    <row r="935">
      <c r="B935" s="83"/>
      <c r="C935" s="84"/>
      <c r="J935" s="83"/>
      <c r="K935" s="83"/>
      <c r="M935" s="83"/>
    </row>
    <row r="936">
      <c r="B936" s="83"/>
      <c r="C936" s="84"/>
      <c r="J936" s="83"/>
      <c r="K936" s="83"/>
      <c r="M936" s="83"/>
    </row>
    <row r="937">
      <c r="B937" s="83"/>
      <c r="C937" s="84"/>
      <c r="J937" s="83"/>
      <c r="K937" s="83"/>
      <c r="M937" s="83"/>
    </row>
    <row r="938">
      <c r="B938" s="83"/>
      <c r="C938" s="84"/>
      <c r="J938" s="83"/>
      <c r="K938" s="83"/>
      <c r="M938" s="83"/>
    </row>
    <row r="939">
      <c r="B939" s="83"/>
      <c r="C939" s="84"/>
      <c r="J939" s="83"/>
      <c r="K939" s="83"/>
      <c r="M939" s="83"/>
    </row>
    <row r="940">
      <c r="B940" s="83"/>
      <c r="C940" s="84"/>
      <c r="J940" s="83"/>
      <c r="K940" s="83"/>
      <c r="M940" s="83"/>
    </row>
    <row r="941">
      <c r="B941" s="83"/>
      <c r="C941" s="84"/>
      <c r="J941" s="83"/>
      <c r="K941" s="83"/>
      <c r="M941" s="83"/>
    </row>
    <row r="942">
      <c r="B942" s="83"/>
      <c r="C942" s="84"/>
      <c r="J942" s="83"/>
      <c r="K942" s="83"/>
      <c r="M942" s="83"/>
    </row>
    <row r="943">
      <c r="B943" s="83"/>
      <c r="C943" s="84"/>
      <c r="J943" s="83"/>
      <c r="K943" s="83"/>
      <c r="M943" s="83"/>
    </row>
    <row r="944">
      <c r="B944" s="83"/>
      <c r="C944" s="84"/>
      <c r="J944" s="83"/>
      <c r="K944" s="83"/>
      <c r="M944" s="83"/>
    </row>
    <row r="945">
      <c r="B945" s="83"/>
      <c r="C945" s="84"/>
      <c r="J945" s="83"/>
      <c r="K945" s="83"/>
      <c r="M945" s="83"/>
    </row>
    <row r="946">
      <c r="B946" s="83"/>
      <c r="C946" s="84"/>
      <c r="J946" s="83"/>
      <c r="K946" s="83"/>
      <c r="M946" s="83"/>
    </row>
    <row r="947">
      <c r="B947" s="83"/>
      <c r="C947" s="84"/>
      <c r="J947" s="83"/>
      <c r="K947" s="83"/>
      <c r="M947" s="83"/>
    </row>
    <row r="948">
      <c r="B948" s="83"/>
      <c r="C948" s="84"/>
      <c r="J948" s="83"/>
      <c r="K948" s="83"/>
      <c r="M948" s="83"/>
    </row>
    <row r="949">
      <c r="B949" s="83"/>
      <c r="C949" s="84"/>
      <c r="J949" s="83"/>
      <c r="K949" s="83"/>
      <c r="M949" s="83"/>
    </row>
    <row r="950">
      <c r="B950" s="83"/>
      <c r="C950" s="84"/>
      <c r="J950" s="83"/>
      <c r="K950" s="83"/>
      <c r="M950" s="83"/>
    </row>
    <row r="951">
      <c r="B951" s="83"/>
      <c r="C951" s="84"/>
      <c r="J951" s="83"/>
      <c r="K951" s="83"/>
      <c r="M951" s="83"/>
    </row>
    <row r="952">
      <c r="B952" s="83"/>
      <c r="C952" s="84"/>
      <c r="J952" s="83"/>
      <c r="K952" s="83"/>
      <c r="M952" s="83"/>
    </row>
    <row r="953">
      <c r="B953" s="83"/>
      <c r="C953" s="84"/>
      <c r="J953" s="83"/>
      <c r="K953" s="83"/>
      <c r="M953" s="83"/>
    </row>
    <row r="954">
      <c r="B954" s="83"/>
      <c r="C954" s="84"/>
      <c r="J954" s="83"/>
      <c r="K954" s="83"/>
      <c r="M954" s="83"/>
    </row>
    <row r="955">
      <c r="B955" s="83"/>
      <c r="C955" s="84"/>
      <c r="J955" s="83"/>
      <c r="K955" s="83"/>
      <c r="M955" s="83"/>
    </row>
    <row r="956">
      <c r="B956" s="83"/>
      <c r="C956" s="84"/>
      <c r="J956" s="83"/>
      <c r="K956" s="83"/>
      <c r="M956" s="83"/>
    </row>
    <row r="957">
      <c r="B957" s="83"/>
      <c r="C957" s="84"/>
      <c r="J957" s="83"/>
      <c r="K957" s="83"/>
      <c r="M957" s="83"/>
    </row>
    <row r="958">
      <c r="B958" s="83"/>
      <c r="C958" s="84"/>
      <c r="J958" s="83"/>
      <c r="K958" s="83"/>
      <c r="M958" s="83"/>
    </row>
    <row r="959">
      <c r="B959" s="83"/>
      <c r="C959" s="84"/>
      <c r="J959" s="83"/>
      <c r="K959" s="83"/>
      <c r="M959" s="83"/>
    </row>
    <row r="960">
      <c r="B960" s="83"/>
      <c r="C960" s="84"/>
      <c r="J960" s="83"/>
      <c r="K960" s="83"/>
      <c r="M960" s="83"/>
    </row>
    <row r="961">
      <c r="B961" s="83"/>
      <c r="C961" s="84"/>
      <c r="J961" s="83"/>
      <c r="K961" s="83"/>
      <c r="M961" s="83"/>
    </row>
    <row r="962">
      <c r="B962" s="83"/>
      <c r="C962" s="84"/>
      <c r="J962" s="83"/>
      <c r="K962" s="83"/>
      <c r="M962" s="83"/>
    </row>
    <row r="963">
      <c r="B963" s="83"/>
      <c r="C963" s="84"/>
      <c r="J963" s="83"/>
      <c r="K963" s="83"/>
      <c r="M963" s="83"/>
    </row>
    <row r="964">
      <c r="B964" s="83"/>
      <c r="C964" s="84"/>
      <c r="J964" s="83"/>
      <c r="K964" s="83"/>
      <c r="M964" s="83"/>
    </row>
    <row r="965">
      <c r="B965" s="83"/>
      <c r="C965" s="84"/>
      <c r="J965" s="83"/>
      <c r="K965" s="83"/>
      <c r="M965" s="83"/>
    </row>
    <row r="966">
      <c r="B966" s="83"/>
      <c r="C966" s="84"/>
      <c r="J966" s="83"/>
      <c r="K966" s="83"/>
      <c r="M966" s="83"/>
    </row>
    <row r="967">
      <c r="B967" s="83"/>
      <c r="C967" s="84"/>
      <c r="J967" s="83"/>
      <c r="K967" s="83"/>
      <c r="M967" s="83"/>
    </row>
    <row r="968">
      <c r="B968" s="83"/>
      <c r="C968" s="84"/>
      <c r="J968" s="83"/>
      <c r="K968" s="83"/>
      <c r="M968" s="83"/>
    </row>
    <row r="969">
      <c r="B969" s="83"/>
      <c r="C969" s="84"/>
      <c r="J969" s="83"/>
      <c r="K969" s="83"/>
      <c r="M969" s="83"/>
    </row>
    <row r="970">
      <c r="B970" s="83"/>
      <c r="C970" s="84"/>
      <c r="J970" s="83"/>
      <c r="K970" s="83"/>
      <c r="M970" s="83"/>
    </row>
    <row r="971">
      <c r="B971" s="83"/>
      <c r="C971" s="84"/>
      <c r="J971" s="83"/>
      <c r="K971" s="83"/>
      <c r="M971" s="83"/>
    </row>
    <row r="972">
      <c r="B972" s="83"/>
      <c r="C972" s="84"/>
      <c r="J972" s="83"/>
      <c r="K972" s="83"/>
      <c r="M972" s="83"/>
    </row>
    <row r="973">
      <c r="B973" s="83"/>
      <c r="C973" s="84"/>
      <c r="J973" s="83"/>
      <c r="K973" s="83"/>
      <c r="M973" s="83"/>
    </row>
    <row r="974">
      <c r="B974" s="83"/>
      <c r="C974" s="84"/>
      <c r="J974" s="83"/>
      <c r="K974" s="83"/>
      <c r="M974" s="83"/>
    </row>
    <row r="975">
      <c r="B975" s="83"/>
      <c r="C975" s="84"/>
      <c r="J975" s="83"/>
      <c r="K975" s="83"/>
      <c r="M975" s="83"/>
    </row>
    <row r="976">
      <c r="B976" s="83"/>
      <c r="C976" s="84"/>
      <c r="J976" s="83"/>
      <c r="K976" s="83"/>
      <c r="M976" s="83"/>
    </row>
    <row r="977">
      <c r="B977" s="83"/>
      <c r="C977" s="84"/>
      <c r="J977" s="83"/>
      <c r="K977" s="83"/>
      <c r="M977" s="83"/>
    </row>
    <row r="978">
      <c r="B978" s="83"/>
      <c r="C978" s="84"/>
      <c r="J978" s="83"/>
      <c r="K978" s="83"/>
      <c r="M978" s="83"/>
    </row>
    <row r="979">
      <c r="B979" s="83"/>
      <c r="C979" s="84"/>
      <c r="J979" s="83"/>
      <c r="K979" s="83"/>
      <c r="M979" s="83"/>
    </row>
    <row r="980">
      <c r="B980" s="83"/>
      <c r="C980" s="84"/>
      <c r="J980" s="83"/>
      <c r="K980" s="83"/>
      <c r="M980" s="83"/>
    </row>
    <row r="981">
      <c r="B981" s="83"/>
      <c r="C981" s="84"/>
      <c r="J981" s="83"/>
      <c r="K981" s="83"/>
      <c r="M981" s="83"/>
    </row>
    <row r="982">
      <c r="B982" s="83"/>
      <c r="C982" s="84"/>
      <c r="J982" s="83"/>
      <c r="K982" s="83"/>
      <c r="M982" s="83"/>
    </row>
    <row r="983">
      <c r="B983" s="83"/>
      <c r="C983" s="84"/>
      <c r="J983" s="83"/>
      <c r="K983" s="83"/>
      <c r="M983" s="83"/>
    </row>
  </sheetData>
  <autoFilter ref="$L$9:$L$131">
    <filterColumn colId="0">
      <filters>
        <filter val="❌ Nao pago"/>
      </filters>
    </filterColumn>
  </autoFilter>
  <conditionalFormatting sqref="A9:Z9">
    <cfRule type="notContainsBlanks" dxfId="0" priority="1">
      <formula>LEN(TRIM(A9))&gt;0</formula>
    </cfRule>
  </conditionalFormatting>
  <dataValidations>
    <dataValidation type="list" allowBlank="1" showErrorMessage="1" sqref="L10:L126 L131">
      <formula1>"❌ Nao pago,✅ Pago,🔝 Quitado,❗ Cobrar Prox Semana❗"</formula1>
    </dataValidation>
    <dataValidation type="list" allowBlank="1" showErrorMessage="1" sqref="M10:M126 M131">
      <formula1>"⚠️ VERIFICAR PIX,✅ OK"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